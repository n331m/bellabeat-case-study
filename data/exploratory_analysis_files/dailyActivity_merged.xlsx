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estor\Documents\bellabeat-analysis\data\Fitabase Data 3.12.16-4.11.16-cleaned\"/>
    </mc:Choice>
  </mc:AlternateContent>
  <xr:revisionPtr revIDLastSave="0" documentId="13_ncr:1_{DAAE3B76-CEFF-4B9F-996B-B47E27D84D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 TABLE" sheetId="2" r:id="rId1"/>
    <sheet name="ScatterPlot(steps, calories)" sheetId="4" r:id="rId2"/>
    <sheet name="dailyActivity_merged" sheetId="1" r:id="rId3"/>
  </sheets>
  <definedNames>
    <definedName name="_xlnm._FilterDatabase" localSheetId="2" hidden="1">dailyActivity_merged!$C$1:$C$458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2" i="1"/>
</calcChain>
</file>

<file path=xl/sharedStrings.xml><?xml version="1.0" encoding="utf-8"?>
<sst xmlns="http://schemas.openxmlformats.org/spreadsheetml/2006/main" count="1638" uniqueCount="640">
  <si>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</si>
  <si>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</si>
  <si>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</si>
  <si>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</si>
  <si>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</si>
  <si>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</si>
  <si>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</si>
  <si>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</si>
  <si>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</si>
  <si>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</si>
  <si>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</si>
  <si>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</si>
  <si>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</si>
  <si>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</si>
  <si>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</si>
  <si>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7.1100001335144</t>
  </si>
  <si>
    <t>2.5699999332428</t>
  </si>
  <si>
    <t>0.46000000834465</t>
  </si>
  <si>
    <t>4.07000017166138</t>
  </si>
  <si>
    <t>11.5500001907349</t>
  </si>
  <si>
    <t>6.92000007629395</t>
  </si>
  <si>
    <t>0.730000019073486</t>
  </si>
  <si>
    <t>3.91000008583069</t>
  </si>
  <si>
    <t>8.52999973297119</t>
  </si>
  <si>
    <t>4.65999984741211</t>
  </si>
  <si>
    <t>0.159999996423721</t>
  </si>
  <si>
    <t>3.71000003814697</t>
  </si>
  <si>
    <t>8.93000030517578</t>
  </si>
  <si>
    <t>3.19000005722046</t>
  </si>
  <si>
    <t>0.790000021457672</t>
  </si>
  <si>
    <t>4.94999980926514</t>
  </si>
  <si>
    <t>7.84999990463257</t>
  </si>
  <si>
    <t>2.16000008583069</t>
  </si>
  <si>
    <t>1.0900000333786</t>
  </si>
  <si>
    <t>4.6100001335144</t>
  </si>
  <si>
    <t>7.15999984741211</t>
  </si>
  <si>
    <t>2.35999989509583</t>
  </si>
  <si>
    <t>0.509999990463257</t>
  </si>
  <si>
    <t>4.28999996185303</t>
  </si>
  <si>
    <t>7.8600001335144</t>
  </si>
  <si>
    <t>2.28999996185303</t>
  </si>
  <si>
    <t>0.490000009536743</t>
  </si>
  <si>
    <t>5.03999996185303</t>
  </si>
  <si>
    <t>7.86999988555908</t>
  </si>
  <si>
    <t>3.3199999332428</t>
  </si>
  <si>
    <t>0.829999983310699</t>
  </si>
  <si>
    <t>3.64000010490417</t>
  </si>
  <si>
    <t>0.449999988079071</t>
  </si>
  <si>
    <t>3.74000000953674</t>
  </si>
  <si>
    <t>6.36999988555908</t>
  </si>
  <si>
    <t>0.910000026226044</t>
  </si>
  <si>
    <t>1.27999997138977</t>
  </si>
  <si>
    <t>4.17999982833862</t>
  </si>
  <si>
    <t>9.80000019073486</t>
  </si>
  <si>
    <t>3.39000010490417</t>
  </si>
  <si>
    <t>0.699999988079071</t>
  </si>
  <si>
    <t>5.69000005722046</t>
  </si>
  <si>
    <t>9.72999954223633</t>
  </si>
  <si>
    <t>2.94000005722046</t>
  </si>
  <si>
    <t>0.759999990463257</t>
  </si>
  <si>
    <t>6.03999996185303</t>
  </si>
  <si>
    <t>7.67000007629395</t>
  </si>
  <si>
    <t>2.03999996185303</t>
  </si>
  <si>
    <t>0.479999989271164</t>
  </si>
  <si>
    <t>5.15000009536743</t>
  </si>
  <si>
    <t>6.44000005722046</t>
  </si>
  <si>
    <t>1.20000004768372</t>
  </si>
  <si>
    <t>4.44999980926514</t>
  </si>
  <si>
    <t>7.94000005722046</t>
  </si>
  <si>
    <t>3.30999994277954</t>
  </si>
  <si>
    <t>0.899999976158142</t>
  </si>
  <si>
    <t>8.10000038146973</t>
  </si>
  <si>
    <t>2.58999991416931</t>
  </si>
  <si>
    <t>0.589999973773956</t>
  </si>
  <si>
    <t>4.92000007629395</t>
  </si>
  <si>
    <t>6.98000001907349</t>
  </si>
  <si>
    <t>2.48000001907349</t>
  </si>
  <si>
    <t>7.26000022888184</t>
  </si>
  <si>
    <t>0.569999992847443</t>
  </si>
  <si>
    <t>4.65000009536743</t>
  </si>
  <si>
    <t>0.140000000596046</t>
  </si>
  <si>
    <t>0.129999995231628</t>
  </si>
  <si>
    <t>1.17999994754791</t>
  </si>
  <si>
    <t>1.12999999523163</t>
  </si>
  <si>
    <t>0.00999999977648258</t>
  </si>
  <si>
    <t>0.529999971389771</t>
  </si>
  <si>
    <t>1.28999996185303</t>
  </si>
  <si>
    <t>1.24000000953674</t>
  </si>
  <si>
    <t>1.00999999046326</t>
  </si>
  <si>
    <t>2.9300000667572</t>
  </si>
  <si>
    <t>0.270000010728836</t>
  </si>
  <si>
    <t>2.15000009536743</t>
  </si>
  <si>
    <t>5.98999977111816</t>
  </si>
  <si>
    <t>5.96999979019165</t>
  </si>
  <si>
    <t>1.88999998569489</t>
  </si>
  <si>
    <t>1.87999999523163</t>
  </si>
  <si>
    <t>0.870000004768372</t>
  </si>
  <si>
    <t>0.649999976158142</t>
  </si>
  <si>
    <t>0.720000028610229</t>
  </si>
  <si>
    <t>4.11999988555908</t>
  </si>
  <si>
    <t>4.09999990463257</t>
  </si>
  <si>
    <t>2.3199999332428</t>
  </si>
  <si>
    <t>0.0299999993294477</t>
  </si>
  <si>
    <t>2.53999996185303</t>
  </si>
  <si>
    <t>0.469999998807907</t>
  </si>
  <si>
    <t>0.25</t>
  </si>
  <si>
    <t>1.80999994277954</t>
  </si>
  <si>
    <t>4.30999994277954</t>
  </si>
  <si>
    <t>3.41000008583069</t>
  </si>
  <si>
    <t>0.779999971389771</t>
  </si>
  <si>
    <t>2.59999990463257</t>
  </si>
  <si>
    <t>14.710000038147</t>
  </si>
  <si>
    <t>6.40000009536743</t>
  </si>
  <si>
    <t>5.73000001907349</t>
  </si>
  <si>
    <t>9.40999984741211</t>
  </si>
  <si>
    <t>4.82999992370605</t>
  </si>
  <si>
    <t>0.769999980926514</t>
  </si>
  <si>
    <t>3.78999996185303</t>
  </si>
  <si>
    <t>2.04999995231628</t>
  </si>
  <si>
    <t>0.310000002384186</t>
  </si>
  <si>
    <t>0.170000001788139</t>
  </si>
  <si>
    <t>1.55999994277954</t>
  </si>
  <si>
    <t>7.21000003814697</t>
  </si>
  <si>
    <t>0.340000003576279</t>
  </si>
  <si>
    <t>1.51999998092651</t>
  </si>
  <si>
    <t>5.3600001335144</t>
  </si>
  <si>
    <t>5.84999990463257</t>
  </si>
  <si>
    <t>2.11999988555908</t>
  </si>
  <si>
    <t>2.45000004768372</t>
  </si>
  <si>
    <t>8.11999988555908</t>
  </si>
  <si>
    <t>0.209999993443489</t>
  </si>
  <si>
    <t>2.41000008583069</t>
  </si>
  <si>
    <t>5.69999980926514</t>
  </si>
  <si>
    <t>2.80999994277954</t>
  </si>
  <si>
    <t>10.0600004196167</t>
  </si>
  <si>
    <t>1.30999994277954</t>
  </si>
  <si>
    <t>3.72000002861023</t>
  </si>
  <si>
    <t>5.03000020980835</t>
  </si>
  <si>
    <t>0.970000028610229</t>
  </si>
  <si>
    <t>4.53000020980835</t>
  </si>
  <si>
    <t>0.610000014305115</t>
  </si>
  <si>
    <t>0.370000004768372</t>
  </si>
  <si>
    <t>3.54999995231628</t>
  </si>
  <si>
    <t>4.19000005722046</t>
  </si>
  <si>
    <t>3.50999999046326</t>
  </si>
  <si>
    <t>3.28999996185303</t>
  </si>
  <si>
    <t>4.34000015258789</t>
  </si>
  <si>
    <t>4.32999992370605</t>
  </si>
  <si>
    <t>3.58999991416931</t>
  </si>
  <si>
    <t>2.99000000953674</t>
  </si>
  <si>
    <t>2.61999988555908</t>
  </si>
  <si>
    <t>3.92000007629395</t>
  </si>
  <si>
    <t>2.21000003814697</t>
  </si>
  <si>
    <t>1.62999999523163</t>
  </si>
  <si>
    <t>1.54999995231628</t>
  </si>
  <si>
    <t>0.360000014305115</t>
  </si>
  <si>
    <t>1.37999999523163</t>
  </si>
  <si>
    <t>1.46000003814697</t>
  </si>
  <si>
    <t>0.839999973773956</t>
  </si>
  <si>
    <t>0.0199999995529652</t>
  </si>
  <si>
    <t>9.60000038146973</t>
  </si>
  <si>
    <t>5.46000003814697</t>
  </si>
  <si>
    <t>0.629999995231628</t>
  </si>
  <si>
    <t>3.83999991416931</t>
  </si>
  <si>
    <t>7.82000017166138</t>
  </si>
  <si>
    <t>1.78999996185303</t>
  </si>
  <si>
    <t>0.889999985694885</t>
  </si>
  <si>
    <t>5.1399998664856</t>
  </si>
  <si>
    <t>5.01999998092651</t>
  </si>
  <si>
    <t>4.69000005722046</t>
  </si>
  <si>
    <t>7.59000015258789</t>
  </si>
  <si>
    <t>0.980000019073486</t>
  </si>
  <si>
    <t>5.8899998664856</t>
  </si>
  <si>
    <t>10.9300003051758</t>
  </si>
  <si>
    <t>3.4300000667572</t>
  </si>
  <si>
    <t>13.8299999237061</t>
  </si>
  <si>
    <t>4.51000022888184</t>
  </si>
  <si>
    <t>9.26000022888184</t>
  </si>
  <si>
    <t>3.23000001907349</t>
  </si>
  <si>
    <t>0.560000002384186</t>
  </si>
  <si>
    <t>5.46999979019165</t>
  </si>
  <si>
    <t>12.5900001525879</t>
  </si>
  <si>
    <t>7.01999998092651</t>
  </si>
  <si>
    <t>0.0799999982118607</t>
  </si>
  <si>
    <t>1.04999995231628</t>
  </si>
  <si>
    <t>5.90000009536743</t>
  </si>
  <si>
    <t>7.09000015258789</t>
  </si>
  <si>
    <t>1.21000003814697</t>
  </si>
  <si>
    <t>5.32999992370605</t>
  </si>
  <si>
    <t>4.71999979019165</t>
  </si>
  <si>
    <t>0.219999998807907</t>
  </si>
  <si>
    <t>1.26999998092651</t>
  </si>
  <si>
    <t>1.62000000476837</t>
  </si>
  <si>
    <t>1.42999994754791</t>
  </si>
  <si>
    <t>4.1399998664856</t>
  </si>
  <si>
    <t>1.97000002861023</t>
  </si>
  <si>
    <t>1.72000002861023</t>
  </si>
  <si>
    <t>2.32999992370605</t>
  </si>
  <si>
    <t>1.91999995708466</t>
  </si>
  <si>
    <t>2.02999997138977</t>
  </si>
  <si>
    <t>2.29999995231628</t>
  </si>
  <si>
    <t>3.27999997138977</t>
  </si>
  <si>
    <t>0.0599999986588955</t>
  </si>
  <si>
    <t>0.419999986886978</t>
  </si>
  <si>
    <t>2.79999995231628</t>
  </si>
  <si>
    <t>1.52999997138977</t>
  </si>
  <si>
    <t>0.119999997317791</t>
  </si>
  <si>
    <t>6.65999984741211</t>
  </si>
  <si>
    <t>1.4099999666214</t>
  </si>
  <si>
    <t>6.78999996185303</t>
  </si>
  <si>
    <t>3.11999988555908</t>
  </si>
  <si>
    <t>7.09999990463257</t>
  </si>
  <si>
    <t>1.76999998092651</t>
  </si>
  <si>
    <t>2.05999994277954</t>
  </si>
  <si>
    <t>3.26999998092651</t>
  </si>
  <si>
    <t>4.46999979019165</t>
  </si>
  <si>
    <t>5.51000022888184</t>
  </si>
  <si>
    <t>10.2200002670288</t>
  </si>
  <si>
    <t>0.810000002384186</t>
  </si>
  <si>
    <t>5.82000017166138</t>
  </si>
  <si>
    <t>6.80000019073486</t>
  </si>
  <si>
    <t>1.41999995708466</t>
  </si>
  <si>
    <t>1.23000001907349</t>
  </si>
  <si>
    <t>4.15999984741211</t>
  </si>
  <si>
    <t>6.82000017166138</t>
  </si>
  <si>
    <t>1.63999998569489</t>
  </si>
  <si>
    <t>4.67999982833862</t>
  </si>
  <si>
    <t>7.34000015258789</t>
  </si>
  <si>
    <t>2.75999999046326</t>
  </si>
  <si>
    <t>3.6800000667572</t>
  </si>
  <si>
    <t>6.84999990463257</t>
  </si>
  <si>
    <t>0.680000007152557</t>
  </si>
  <si>
    <t>4.94000005722046</t>
  </si>
  <si>
    <t>0.349999994039536</t>
  </si>
  <si>
    <t>6.23000001907349</t>
  </si>
  <si>
    <t>10.6300001144409</t>
  </si>
  <si>
    <t>1.82000005245209</t>
  </si>
  <si>
    <t>7.55999994277954</t>
  </si>
  <si>
    <t>6.82999992370605</t>
  </si>
  <si>
    <t>1.01999998092651</t>
  </si>
  <si>
    <t>6.6100001335144</t>
  </si>
  <si>
    <t>0.330000013113022</t>
  </si>
  <si>
    <t>3.35999989509583</t>
  </si>
  <si>
    <t>0.600000023841858</t>
  </si>
  <si>
    <t>1.49000000953674</t>
  </si>
  <si>
    <t>5.13000011444092</t>
  </si>
  <si>
    <t>0.189999997615814</t>
  </si>
  <si>
    <t>0.800000011920929</t>
  </si>
  <si>
    <t>4.15000009536743</t>
  </si>
  <si>
    <t>6.53000020980835</t>
  </si>
  <si>
    <t>5.28999996185303</t>
  </si>
  <si>
    <t>5.67000007629395</t>
  </si>
  <si>
    <t>5.65000009536743</t>
  </si>
  <si>
    <t>6.30999994277954</t>
  </si>
  <si>
    <t>0.689999997615814</t>
  </si>
  <si>
    <t>5.23999977111816</t>
  </si>
  <si>
    <t>4.80999994277954</t>
  </si>
  <si>
    <t>9.5600004196167</t>
  </si>
  <si>
    <t>3.01999998092651</t>
  </si>
  <si>
    <t>0.409999996423721</t>
  </si>
  <si>
    <t>6.1399998664856</t>
  </si>
  <si>
    <t>0.0399999991059303</t>
  </si>
  <si>
    <t>3.17000007629395</t>
  </si>
  <si>
    <t>4.82803201675415</t>
  </si>
  <si>
    <t>3.22000002861023</t>
  </si>
  <si>
    <t>3.21868801116943</t>
  </si>
  <si>
    <t>1.61000001430511</t>
  </si>
  <si>
    <t>1.60934400558472</t>
  </si>
  <si>
    <t>3.95000004768372</t>
  </si>
  <si>
    <t>5.23000001907349</t>
  </si>
  <si>
    <t>1.67999994754791</t>
  </si>
  <si>
    <t>3.21000003814697</t>
  </si>
  <si>
    <t>4.01999998092651</t>
  </si>
  <si>
    <t>1.29999995231628</t>
  </si>
  <si>
    <t>2.49000000953674</t>
  </si>
  <si>
    <t>3.03999996185303</t>
  </si>
  <si>
    <t>4.3899998664856</t>
  </si>
  <si>
    <t>0.0900000035762787</t>
  </si>
  <si>
    <t>3.51999998092651</t>
  </si>
  <si>
    <t>5.09999990463257</t>
  </si>
  <si>
    <t>4.05000019073486</t>
  </si>
  <si>
    <t>3.76999998092651</t>
  </si>
  <si>
    <t>3.1800000667572</t>
  </si>
  <si>
    <t>1.03999996185303</t>
  </si>
  <si>
    <t>0.150000005960464</t>
  </si>
  <si>
    <t>1.99000000953674</t>
  </si>
  <si>
    <t>3.00999999046326</t>
  </si>
  <si>
    <t>0.180000007152557</t>
  </si>
  <si>
    <t>4.90999984741211</t>
  </si>
  <si>
    <t>7.69999980926514</t>
  </si>
  <si>
    <t>2.17000007629395</t>
  </si>
  <si>
    <t>7.98999977111816</t>
  </si>
  <si>
    <t>1.02999997138977</t>
  </si>
  <si>
    <t>2.00999999046326</t>
  </si>
  <si>
    <t>8.22999954223633</t>
  </si>
  <si>
    <t>1.71000003814697</t>
  </si>
  <si>
    <t>1.35000002384186</t>
  </si>
  <si>
    <t>5.17000007629395</t>
  </si>
  <si>
    <t>10.3199996948242</t>
  </si>
  <si>
    <t>6.86999988555908</t>
  </si>
  <si>
    <t>5.63000011444092</t>
  </si>
  <si>
    <t>3.59999990463257</t>
  </si>
  <si>
    <t>6.84000015258789</t>
  </si>
  <si>
    <t>4.44000005722046</t>
  </si>
  <si>
    <t>2.40000009536743</t>
  </si>
  <si>
    <t>9.76000022888184</t>
  </si>
  <si>
    <t>1.74000000953674</t>
  </si>
  <si>
    <t>5.53000020980835</t>
  </si>
  <si>
    <t>2.39000010490417</t>
  </si>
  <si>
    <t>0.939999997615814</t>
  </si>
  <si>
    <t>2.14000010490417</t>
  </si>
  <si>
    <t>0.0700000002980232</t>
  </si>
  <si>
    <t>1.96000003814697</t>
  </si>
  <si>
    <t>3.97000002861023</t>
  </si>
  <si>
    <t>3.96000003814697</t>
  </si>
  <si>
    <t>2.30999994277954</t>
  </si>
  <si>
    <t>2.27999997138977</t>
  </si>
  <si>
    <t>4.23000001907349</t>
  </si>
  <si>
    <t>4.03999996185303</t>
  </si>
  <si>
    <t>8.98999977111816</t>
  </si>
  <si>
    <t>1.45000004768372</t>
  </si>
  <si>
    <t>6.90000009536743</t>
  </si>
  <si>
    <t>6.40999984741211</t>
  </si>
  <si>
    <t>0.259999990463257</t>
  </si>
  <si>
    <t>4.09000015258789</t>
  </si>
  <si>
    <t>7.40999984741211</t>
  </si>
  <si>
    <t>6.28999996185303</t>
  </si>
  <si>
    <t>4.78000020980835</t>
  </si>
  <si>
    <t>4.51999998092651</t>
  </si>
  <si>
    <t>3.99000000953674</t>
  </si>
  <si>
    <t>3.13000011444092</t>
  </si>
  <si>
    <t>5.11999988555908</t>
  </si>
  <si>
    <t>1.50999999046326</t>
  </si>
  <si>
    <t>0.0500000007450581</t>
  </si>
  <si>
    <t>2.98000001907349</t>
  </si>
  <si>
    <t>2.96000003814697</t>
  </si>
  <si>
    <t>3.86999988555908</t>
  </si>
  <si>
    <t>3.84999990463257</t>
  </si>
  <si>
    <t>0.920000016689301</t>
  </si>
  <si>
    <t>0.620000004768372</t>
  </si>
  <si>
    <t>3.09999990463257</t>
  </si>
  <si>
    <t>2.74000000953674</t>
  </si>
  <si>
    <t>4.38000011444092</t>
  </si>
  <si>
    <t>4.3600001335144</t>
  </si>
  <si>
    <t>4.59999990463257</t>
  </si>
  <si>
    <t>0.949999988079071</t>
  </si>
  <si>
    <t>3.65000009536743</t>
  </si>
  <si>
    <t>4.92999982833862</t>
  </si>
  <si>
    <t>0.5</t>
  </si>
  <si>
    <t>5.30999994277954</t>
  </si>
  <si>
    <t>0.28999999165535</t>
  </si>
  <si>
    <t>7.51000022888184</t>
  </si>
  <si>
    <t>1.47000002861023</t>
  </si>
  <si>
    <t>5.01000022888184</t>
  </si>
  <si>
    <t>5.55000019073486</t>
  </si>
  <si>
    <t>1.1599999666214</t>
  </si>
  <si>
    <t>3.8199999332428</t>
  </si>
  <si>
    <t>0.239999994635582</t>
  </si>
  <si>
    <t>2.08999991416931</t>
  </si>
  <si>
    <t>3.44000005722046</t>
  </si>
  <si>
    <t>1.94000005722046</t>
  </si>
  <si>
    <t>5.34000015258789</t>
  </si>
  <si>
    <t>0.550000011920929</t>
  </si>
  <si>
    <t>1.6599999666214</t>
  </si>
  <si>
    <t>3.75999999046326</t>
  </si>
  <si>
    <t>4.57000017166138</t>
  </si>
  <si>
    <t>0.055842999368906</t>
  </si>
  <si>
    <t>6.15999984741211</t>
  </si>
  <si>
    <t>5.48999977111816</t>
  </si>
  <si>
    <t>0.540000021457672</t>
  </si>
  <si>
    <t>2.50999999046326</t>
  </si>
  <si>
    <t>0.300000011920929</t>
  </si>
  <si>
    <t>4.98000001907349</t>
  </si>
  <si>
    <t>4.96999979019165</t>
  </si>
  <si>
    <t>0.230000004172325</t>
  </si>
  <si>
    <t>6.07000017166138</t>
  </si>
  <si>
    <t>0.430000007152557</t>
  </si>
  <si>
    <t>5.36999988555908</t>
  </si>
  <si>
    <t>6.26999998092651</t>
  </si>
  <si>
    <t>0.959999978542328</t>
  </si>
  <si>
    <t>0.850000023841858</t>
  </si>
  <si>
    <t>4.46000003814697</t>
  </si>
  <si>
    <t>5.65999984741211</t>
  </si>
  <si>
    <t>5.51999998092651</t>
  </si>
  <si>
    <t>6.76000022888184</t>
  </si>
  <si>
    <t>4.86999988555908</t>
  </si>
  <si>
    <t>7.34999990463257</t>
  </si>
  <si>
    <t>6.15000009536743</t>
  </si>
  <si>
    <t>0.379999995231628</t>
  </si>
  <si>
    <t>5.26999998092651</t>
  </si>
  <si>
    <t>4.40999984741211</t>
  </si>
  <si>
    <t>3.85999989509583</t>
  </si>
  <si>
    <t>2.19000005722046</t>
  </si>
  <si>
    <t>3.63000011444092</t>
  </si>
  <si>
    <t>3.60999989509583</t>
  </si>
  <si>
    <t>2.10999989509583</t>
  </si>
  <si>
    <t>2.83999991416931</t>
  </si>
  <si>
    <t>2.52999997138977</t>
  </si>
  <si>
    <t>0.100000001490116</t>
  </si>
  <si>
    <t>2.01999998092651</t>
  </si>
  <si>
    <t>2.54999995231628</t>
  </si>
  <si>
    <t>4.13000011444092</t>
  </si>
  <si>
    <t>1.95000004768372</t>
  </si>
  <si>
    <t>3.52999997138977</t>
  </si>
  <si>
    <t>2.09999990463257</t>
  </si>
  <si>
    <t>4.07999992370605</t>
  </si>
  <si>
    <t>5.42000007629395</t>
  </si>
  <si>
    <t>4.48999977111816</t>
  </si>
  <si>
    <t>1.5900000333786</t>
  </si>
  <si>
    <t>0.860000014305115</t>
  </si>
  <si>
    <t>2.76999998092651</t>
  </si>
  <si>
    <t>5.84000015258789</t>
  </si>
  <si>
    <t>0.819999992847443</t>
  </si>
  <si>
    <t>5.28000020980835</t>
  </si>
  <si>
    <t>4.67000007629395</t>
  </si>
  <si>
    <t>5.34999990463257</t>
  </si>
  <si>
    <t>5.80999994277954</t>
  </si>
  <si>
    <t>5.44000005722046</t>
  </si>
  <si>
    <t>8.38000011444092</t>
  </si>
  <si>
    <t>9.82999992370605</t>
  </si>
  <si>
    <t>2.84999990463257</t>
  </si>
  <si>
    <t>6.71999979019165</t>
  </si>
  <si>
    <t>6.3600001335144</t>
  </si>
  <si>
    <t>5.40999984741211</t>
  </si>
  <si>
    <t>3.36999988555908</t>
  </si>
  <si>
    <t>6.17999982833862</t>
  </si>
  <si>
    <t>6.6399998664856</t>
  </si>
  <si>
    <t>5.94999980926514</t>
  </si>
  <si>
    <t>11.3599996566772</t>
  </si>
  <si>
    <t>2.6800000667572</t>
  </si>
  <si>
    <t>8.0600004196167</t>
  </si>
  <si>
    <t>9.02999973297119</t>
  </si>
  <si>
    <t>7.78999996185303</t>
  </si>
  <si>
    <t>2.90000009536743</t>
  </si>
  <si>
    <t>4.57999992370605</t>
  </si>
  <si>
    <t>1.9099999666214</t>
  </si>
  <si>
    <t>0.990000009536743</t>
  </si>
  <si>
    <t>5.88000011444092</t>
  </si>
  <si>
    <t>2.0699999332428</t>
  </si>
  <si>
    <t>0.439999997615814</t>
  </si>
  <si>
    <t>7.38000011444092</t>
  </si>
  <si>
    <t>1.70000004768372</t>
  </si>
  <si>
    <t>3.89000010490417</t>
  </si>
  <si>
    <t>10.0799999237061</t>
  </si>
  <si>
    <t>1.73000001907349</t>
  </si>
  <si>
    <t>5.07999992370605</t>
  </si>
  <si>
    <t>6.48999977111816</t>
  </si>
  <si>
    <t>3.07999992370605</t>
  </si>
  <si>
    <t>0.280000001192093</t>
  </si>
  <si>
    <t>1.48000001907349</t>
  </si>
  <si>
    <t>7.76999998092651</t>
  </si>
  <si>
    <t>2.25999999046326</t>
  </si>
  <si>
    <t>2.24000000953674</t>
  </si>
  <si>
    <t>0.670000016689301</t>
  </si>
  <si>
    <t>4.76000022888184</t>
  </si>
  <si>
    <t>11.1099996566772</t>
  </si>
  <si>
    <t>8.1899995803833</t>
  </si>
  <si>
    <t>5.55999994277954</t>
  </si>
  <si>
    <t>2.88000011444092</t>
  </si>
  <si>
    <t>6.69999980926514</t>
  </si>
  <si>
    <t>8.30000019073486</t>
  </si>
  <si>
    <t>1.37000000476837</t>
  </si>
  <si>
    <t>3.80999994277954</t>
  </si>
  <si>
    <t>3.25999999046326</t>
  </si>
  <si>
    <t>7.84000015258789</t>
  </si>
  <si>
    <t>5.61999988555908</t>
  </si>
  <si>
    <t>14.8400001525879</t>
  </si>
  <si>
    <t>12.5100002288818</t>
  </si>
  <si>
    <t>6.3899998664856</t>
  </si>
  <si>
    <t>0.639999985694885</t>
  </si>
  <si>
    <t>5.57000017166138</t>
  </si>
  <si>
    <t>7.48000001907349</t>
  </si>
  <si>
    <t>9.36999988555908</t>
  </si>
  <si>
    <t>3.66000008583069</t>
  </si>
  <si>
    <t>6.73000001907349</t>
  </si>
  <si>
    <t>8.14999961853027</t>
  </si>
  <si>
    <t>7.21999979019165</t>
  </si>
  <si>
    <t>2.02777290344238</t>
  </si>
  <si>
    <t>6.72705698013306</t>
  </si>
  <si>
    <t>7.46000003814697</t>
  </si>
  <si>
    <t>5.17999982833862</t>
  </si>
  <si>
    <t>2.1800000667572</t>
  </si>
  <si>
    <t>3.14000010490417</t>
  </si>
  <si>
    <t>8.43000030517578</t>
  </si>
  <si>
    <t>2.44000005722046</t>
  </si>
  <si>
    <t>10.0299997329712</t>
  </si>
  <si>
    <t>2.86999988555908</t>
  </si>
  <si>
    <t>3.33999991416931</t>
  </si>
  <si>
    <t>10.2399997711182</t>
  </si>
  <si>
    <t>9.31999969482422</t>
  </si>
  <si>
    <t>3.90000009536743</t>
  </si>
  <si>
    <t>2.4300000667572</t>
  </si>
  <si>
    <t>3.24000000953674</t>
  </si>
  <si>
    <t>8.14000034332275</t>
  </si>
  <si>
    <t>12.8000001907349</t>
  </si>
  <si>
    <t>5.90999984741211</t>
  </si>
  <si>
    <t>2.38000011444092</t>
  </si>
  <si>
    <t>8.85999965667725</t>
  </si>
  <si>
    <t>3.97279500961304</t>
  </si>
  <si>
    <t>9.64999961853027</t>
  </si>
  <si>
    <t>8.86999988555908</t>
  </si>
  <si>
    <t>1.92630195617676</t>
  </si>
  <si>
    <t>10.8800001144409</t>
  </si>
  <si>
    <t>9.52000045776367</t>
  </si>
  <si>
    <t>5.45686388015747</t>
  </si>
  <si>
    <t>2.47000002861023</t>
  </si>
  <si>
    <t>8.26000022888184</t>
  </si>
  <si>
    <t>4.96000003814697</t>
  </si>
  <si>
    <t>6.71000003814697</t>
  </si>
  <si>
    <t>1.36000001430511</t>
  </si>
  <si>
    <t>9.09000015258789</t>
  </si>
  <si>
    <t>8.17000007629395</t>
  </si>
  <si>
    <t>2.69645500183105</t>
  </si>
  <si>
    <t>2.73000001907349</t>
  </si>
  <si>
    <t>9.0600004196167</t>
  </si>
  <si>
    <t>7.80999994277954</t>
  </si>
  <si>
    <t>4.901282787323</t>
  </si>
  <si>
    <t>4.23999977111816</t>
  </si>
  <si>
    <t>6.13000011444092</t>
  </si>
  <si>
    <t>11.2399997711182</t>
  </si>
  <si>
    <t>3.47000002861023</t>
  </si>
  <si>
    <t>11.3999996185303</t>
  </si>
  <si>
    <t>10.210000038147</t>
  </si>
  <si>
    <t>5.18984985351563</t>
  </si>
  <si>
    <t>5.80000019073486</t>
  </si>
  <si>
    <t>4.78999996185303</t>
  </si>
  <si>
    <t>9.14000034332275</t>
  </si>
  <si>
    <t>8.07999992370605</t>
  </si>
  <si>
    <t>4.83638000488281</t>
  </si>
  <si>
    <t>9.06999969482422</t>
  </si>
  <si>
    <t>4.83572006225586</t>
  </si>
  <si>
    <t>4.55999994277954</t>
  </si>
  <si>
    <t>10.5799999237061</t>
  </si>
  <si>
    <t>9.43000030517578</t>
  </si>
  <si>
    <t>4.87598991394043</t>
  </si>
  <si>
    <t>1.19000005722046</t>
  </si>
  <si>
    <t>4.28000020980835</t>
  </si>
  <si>
    <t>8.44999980926514</t>
  </si>
  <si>
    <t>4.84231996536255</t>
  </si>
  <si>
    <t>4.69999980926514</t>
  </si>
  <si>
    <t>0.740000009536743</t>
  </si>
  <si>
    <t>4.21000003814697</t>
  </si>
  <si>
    <t>6.57999992370605</t>
  </si>
  <si>
    <t>6.1100001335144</t>
  </si>
  <si>
    <t>5.76999998092651</t>
  </si>
  <si>
    <t>4.8697829246521</t>
  </si>
  <si>
    <t>2.82999992370605</t>
  </si>
  <si>
    <t>4.98999977111816</t>
  </si>
  <si>
    <t>1.79999995231628</t>
  </si>
  <si>
    <t>2.60999989509583</t>
  </si>
  <si>
    <t>4.73000001907349</t>
  </si>
  <si>
    <t>10.8199996948242</t>
  </si>
  <si>
    <t>7.23000001907349</t>
  </si>
  <si>
    <t>1.12000000476837</t>
  </si>
  <si>
    <t>6.51999998092651</t>
  </si>
  <si>
    <t>1.39999997615814</t>
  </si>
  <si>
    <t>1.08000004291534</t>
  </si>
  <si>
    <t>3.46000003814697</t>
  </si>
  <si>
    <t>15.6199998855591</t>
  </si>
  <si>
    <t>12.0600004196167</t>
  </si>
  <si>
    <t>2.71000003814697</t>
  </si>
  <si>
    <t>20.1399993896484</t>
  </si>
  <si>
    <t>16.8199996948242</t>
  </si>
  <si>
    <t>1.69000005722046</t>
  </si>
  <si>
    <t>13.210000038147</t>
  </si>
  <si>
    <t>9.67000007629395</t>
  </si>
  <si>
    <t>3.34999990463257</t>
  </si>
  <si>
    <t>13.4099998474121</t>
  </si>
  <si>
    <t>9.96000003814697</t>
  </si>
  <si>
    <t>12.4200000762939</t>
  </si>
  <si>
    <t>8.96000003814697</t>
  </si>
  <si>
    <t>2.91000008583069</t>
  </si>
  <si>
    <t>13.1999998092651</t>
  </si>
  <si>
    <t>9.97000026702881</t>
  </si>
  <si>
    <t>9.53999996185303</t>
  </si>
  <si>
    <t>6.76999998092651</t>
  </si>
  <si>
    <t>6.69000005722046</t>
  </si>
  <si>
    <t>7.73000001907349</t>
  </si>
  <si>
    <t>3.04999995231628</t>
  </si>
  <si>
    <t>3.88000011444092</t>
  </si>
  <si>
    <t>12.7200002670288</t>
  </si>
  <si>
    <t>9.97999954223633</t>
  </si>
  <si>
    <t>3.42000007629395</t>
  </si>
  <si>
    <t>9.14999961853027</t>
  </si>
  <si>
    <t>0.930000007152557</t>
  </si>
  <si>
    <t>3.53999996185303</t>
  </si>
  <si>
    <t>1.66999995708466</t>
  </si>
  <si>
    <t>1.05999994277954</t>
  </si>
  <si>
    <t>2.66000008583069</t>
  </si>
  <si>
    <t>11.0500001907349</t>
  </si>
  <si>
    <t>2.0921471118927</t>
  </si>
  <si>
    <t>6.17000007629395</t>
  </si>
  <si>
    <t>10.1899995803833</t>
  </si>
  <si>
    <t>2.25308108329773</t>
  </si>
  <si>
    <t>0.75</t>
  </si>
  <si>
    <t>7.23999977111816</t>
  </si>
  <si>
    <t>6.98999977111816</t>
  </si>
  <si>
    <t>7.71000003814697</t>
  </si>
  <si>
    <t>4.76999998092651</t>
  </si>
  <si>
    <t>6.61999988555908</t>
  </si>
  <si>
    <t>1.77999997138977</t>
  </si>
  <si>
    <t>7.01000022888184</t>
  </si>
  <si>
    <t>1.53999996185303</t>
  </si>
  <si>
    <t>0.879999995231628</t>
  </si>
  <si>
    <t>4.59000015258789</t>
  </si>
  <si>
    <t>0.709999978542328</t>
  </si>
  <si>
    <t>2.69000005722046</t>
  </si>
  <si>
    <t>1.86000001430511</t>
  </si>
  <si>
    <t>2.46000003814697</t>
  </si>
  <si>
    <t>2.20000004768372</t>
  </si>
  <si>
    <t>1.10000002384186</t>
  </si>
  <si>
    <t>2.70000004768372</t>
  </si>
  <si>
    <t>0.389999985694885</t>
  </si>
  <si>
    <t>4.63000011444092</t>
  </si>
  <si>
    <t>0.109999999403954</t>
  </si>
  <si>
    <t>2.23000001907349</t>
  </si>
  <si>
    <t>2.95000004768372</t>
  </si>
  <si>
    <t>15.8199996948242</t>
  </si>
  <si>
    <t>8.69999980926514</t>
  </si>
  <si>
    <t>6.90999984741211</t>
  </si>
  <si>
    <t>23.3899993896484</t>
  </si>
  <si>
    <t>14.7200002670288</t>
  </si>
  <si>
    <t>18.4099998474121</t>
  </si>
  <si>
    <t>11.7299995422363</t>
  </si>
  <si>
    <t>20.9099998474121</t>
  </si>
  <si>
    <t>12.2200002670288</t>
  </si>
  <si>
    <t>8.42000007629395</t>
  </si>
  <si>
    <t>20.3899993896484</t>
  </si>
  <si>
    <t>11.1000003814697</t>
  </si>
  <si>
    <t>8.61999988555908</t>
  </si>
  <si>
    <t>8.06999969482422</t>
  </si>
  <si>
    <t>8.02000045776367</t>
  </si>
  <si>
    <t>27.5300006866455</t>
  </si>
  <si>
    <t>21.9200000762939</t>
  </si>
  <si>
    <t>DayType</t>
  </si>
  <si>
    <t>Weekday</t>
  </si>
  <si>
    <t>Weekend</t>
  </si>
  <si>
    <t>AVG TotalSteps</t>
  </si>
  <si>
    <t>Rows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</si>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</sst>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7" fontId="0" fillId="0" borderId="0" xfId="0" applyNumberFormat="1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ln>
                  <a:noFill/>
                </a:ln>
                <a:solidFill>
                  <a:schemeClr val="dk1">
                    <a:lumMod val="50000"/>
                    <a:lumOff val="50000"/>
                  </a:schemeClr>
                </a:solidFill>
                <a:effectLst>
                  <a:glow rad="63500">
                    <a:schemeClr val="accent3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n>
                  <a:noFill/>
                </a:ln>
                <a:effectLst>
                  <a:glow rad="63500">
                    <a:schemeClr val="accent3">
                      <a:satMod val="175000"/>
                      <a:alpha val="40000"/>
                    </a:schemeClr>
                  </a:glow>
                </a:effectLst>
              </a:rPr>
              <a:t>Steps vs Calories</a:t>
            </a:r>
          </a:p>
          <a:p>
            <a:pPr>
              <a:defRPr>
                <a:ln>
                  <a:noFill/>
                </a:ln>
                <a:effectLst>
                  <a:glow rad="63500">
                    <a:schemeClr val="accent3">
                      <a:satMod val="175000"/>
                      <a:alpha val="40000"/>
                    </a:schemeClr>
                  </a:glow>
                </a:effectLst>
              </a:defRPr>
            </a:pPr>
            <a:endParaRPr lang="en-US">
              <a:ln>
                <a:noFill/>
              </a:ln>
              <a:effectLst>
                <a:glow rad="63500">
                  <a:schemeClr val="accent3">
                    <a:satMod val="175000"/>
                    <a:alpha val="40000"/>
                  </a:schemeClr>
                </a:glow>
              </a:effectLst>
            </a:endParaRPr>
          </a:p>
        </c:rich>
      </c:tx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ln>
                <a:noFill/>
              </a:ln>
              <a:solidFill>
                <a:schemeClr val="dk1">
                  <a:lumMod val="50000"/>
                  <a:lumOff val="50000"/>
                </a:schemeClr>
              </a:solidFill>
              <a:effectLst>
                <a:glow rad="63500">
                  <a:schemeClr val="accent3">
                    <a:satMod val="175000"/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003154020244757E-2"/>
          <c:y val="9.8894687405767678E-2"/>
          <c:w val="0.92408893733862307"/>
          <c:h val="0.83780628236908483"/>
        </c:manualLayout>
      </c:layout>
      <c:scatterChart>
        <c:scatterStyle val="lineMarker"/>
        <c:varyColors val="0"/>
        <c:ser>
          <c:idx val="0"/>
          <c:order val="0"/>
          <c:tx>
            <c:strRef>
              <c:f>dailyActivity_merged!$O$1</c:f>
              <c:strCache>
                <c:ptCount val="1"/>
                <c:pt idx="0">
                  <c:v>Calories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15875" cap="rnd">
                <a:solidFill>
                  <a:schemeClr val="accent1">
                    <a:lumMod val="50000"/>
                  </a:schemeClr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8109169974258084E-2"/>
                  <c:y val="4.75168065346018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5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dailyActivity_merged!$C$2:$C$458</c:f>
              <c:numCache>
                <c:formatCode>General</c:formatCode>
                <c:ptCount val="396"/>
                <c:pt idx="0">
                  <c:v>11004</c:v>
                </c:pt>
                <c:pt idx="1">
                  <c:v>17609</c:v>
                </c:pt>
                <c:pt idx="2">
                  <c:v>12736</c:v>
                </c:pt>
                <c:pt idx="3">
                  <c:v>13231</c:v>
                </c:pt>
                <c:pt idx="4">
                  <c:v>12041</c:v>
                </c:pt>
                <c:pt idx="5">
                  <c:v>10970</c:v>
                </c:pt>
                <c:pt idx="6">
                  <c:v>12256</c:v>
                </c:pt>
                <c:pt idx="7">
                  <c:v>12262</c:v>
                </c:pt>
                <c:pt idx="8">
                  <c:v>11248</c:v>
                </c:pt>
                <c:pt idx="9">
                  <c:v>10016</c:v>
                </c:pt>
                <c:pt idx="10">
                  <c:v>14557</c:v>
                </c:pt>
                <c:pt idx="11">
                  <c:v>14844</c:v>
                </c:pt>
                <c:pt idx="12">
                  <c:v>11974</c:v>
                </c:pt>
                <c:pt idx="13">
                  <c:v>10198</c:v>
                </c:pt>
                <c:pt idx="14">
                  <c:v>12521</c:v>
                </c:pt>
                <c:pt idx="15">
                  <c:v>12432</c:v>
                </c:pt>
                <c:pt idx="16">
                  <c:v>10057</c:v>
                </c:pt>
                <c:pt idx="17">
                  <c:v>10990</c:v>
                </c:pt>
                <c:pt idx="18">
                  <c:v>224</c:v>
                </c:pt>
                <c:pt idx="19">
                  <c:v>1810</c:v>
                </c:pt>
                <c:pt idx="20">
                  <c:v>815</c:v>
                </c:pt>
                <c:pt idx="21">
                  <c:v>1985</c:v>
                </c:pt>
                <c:pt idx="22">
                  <c:v>1905</c:v>
                </c:pt>
                <c:pt idx="23">
                  <c:v>1552</c:v>
                </c:pt>
                <c:pt idx="24">
                  <c:v>1675</c:v>
                </c:pt>
                <c:pt idx="25">
                  <c:v>4506</c:v>
                </c:pt>
                <c:pt idx="26">
                  <c:v>9218</c:v>
                </c:pt>
                <c:pt idx="27">
                  <c:v>1556</c:v>
                </c:pt>
                <c:pt idx="28">
                  <c:v>2910</c:v>
                </c:pt>
                <c:pt idx="29">
                  <c:v>18464</c:v>
                </c:pt>
                <c:pt idx="30">
                  <c:v>1335</c:v>
                </c:pt>
                <c:pt idx="31">
                  <c:v>1004</c:v>
                </c:pt>
                <c:pt idx="32">
                  <c:v>1111</c:v>
                </c:pt>
                <c:pt idx="33">
                  <c:v>6344</c:v>
                </c:pt>
                <c:pt idx="34">
                  <c:v>3572</c:v>
                </c:pt>
                <c:pt idx="35">
                  <c:v>3910</c:v>
                </c:pt>
                <c:pt idx="36">
                  <c:v>10000</c:v>
                </c:pt>
                <c:pt idx="37">
                  <c:v>6627</c:v>
                </c:pt>
                <c:pt idx="38">
                  <c:v>4636</c:v>
                </c:pt>
                <c:pt idx="39">
                  <c:v>20237</c:v>
                </c:pt>
                <c:pt idx="40">
                  <c:v>12912</c:v>
                </c:pt>
                <c:pt idx="41">
                  <c:v>2819</c:v>
                </c:pt>
                <c:pt idx="42">
                  <c:v>9921</c:v>
                </c:pt>
                <c:pt idx="43">
                  <c:v>8046</c:v>
                </c:pt>
                <c:pt idx="44">
                  <c:v>11166</c:v>
                </c:pt>
                <c:pt idx="45">
                  <c:v>7842</c:v>
                </c:pt>
                <c:pt idx="46">
                  <c:v>13840</c:v>
                </c:pt>
                <c:pt idx="47">
                  <c:v>1329</c:v>
                </c:pt>
                <c:pt idx="48">
                  <c:v>6847</c:v>
                </c:pt>
                <c:pt idx="49">
                  <c:v>5367</c:v>
                </c:pt>
                <c:pt idx="50">
                  <c:v>2841</c:v>
                </c:pt>
                <c:pt idx="51">
                  <c:v>7</c:v>
                </c:pt>
                <c:pt idx="52">
                  <c:v>6344</c:v>
                </c:pt>
                <c:pt idx="53">
                  <c:v>5316</c:v>
                </c:pt>
                <c:pt idx="54">
                  <c:v>4979</c:v>
                </c:pt>
                <c:pt idx="55">
                  <c:v>6556</c:v>
                </c:pt>
                <c:pt idx="56">
                  <c:v>5430</c:v>
                </c:pt>
                <c:pt idx="57">
                  <c:v>4317</c:v>
                </c:pt>
                <c:pt idx="58">
                  <c:v>5662</c:v>
                </c:pt>
                <c:pt idx="59">
                  <c:v>3198</c:v>
                </c:pt>
                <c:pt idx="60">
                  <c:v>2352</c:v>
                </c:pt>
                <c:pt idx="61">
                  <c:v>2234</c:v>
                </c:pt>
                <c:pt idx="62">
                  <c:v>1259</c:v>
                </c:pt>
                <c:pt idx="63">
                  <c:v>768</c:v>
                </c:pt>
                <c:pt idx="64">
                  <c:v>519</c:v>
                </c:pt>
                <c:pt idx="65">
                  <c:v>2523</c:v>
                </c:pt>
                <c:pt idx="66">
                  <c:v>2105</c:v>
                </c:pt>
                <c:pt idx="67">
                  <c:v>1209</c:v>
                </c:pt>
                <c:pt idx="68">
                  <c:v>24</c:v>
                </c:pt>
                <c:pt idx="69">
                  <c:v>13603</c:v>
                </c:pt>
                <c:pt idx="70">
                  <c:v>5477</c:v>
                </c:pt>
                <c:pt idx="71">
                  <c:v>11144</c:v>
                </c:pt>
                <c:pt idx="72">
                  <c:v>15313</c:v>
                </c:pt>
                <c:pt idx="73">
                  <c:v>10805</c:v>
                </c:pt>
                <c:pt idx="74">
                  <c:v>15392</c:v>
                </c:pt>
                <c:pt idx="75">
                  <c:v>18247</c:v>
                </c:pt>
                <c:pt idx="76">
                  <c:v>13023</c:v>
                </c:pt>
                <c:pt idx="77">
                  <c:v>16267</c:v>
                </c:pt>
                <c:pt idx="78">
                  <c:v>10005</c:v>
                </c:pt>
                <c:pt idx="79">
                  <c:v>10106</c:v>
                </c:pt>
                <c:pt idx="80">
                  <c:v>6717</c:v>
                </c:pt>
                <c:pt idx="81">
                  <c:v>2605</c:v>
                </c:pt>
                <c:pt idx="82">
                  <c:v>1229</c:v>
                </c:pt>
                <c:pt idx="83">
                  <c:v>2308</c:v>
                </c:pt>
                <c:pt idx="84">
                  <c:v>6679</c:v>
                </c:pt>
                <c:pt idx="85">
                  <c:v>5645</c:v>
                </c:pt>
                <c:pt idx="86">
                  <c:v>3180</c:v>
                </c:pt>
                <c:pt idx="87">
                  <c:v>2767</c:v>
                </c:pt>
                <c:pt idx="88">
                  <c:v>3762</c:v>
                </c:pt>
                <c:pt idx="89">
                  <c:v>3098</c:v>
                </c:pt>
                <c:pt idx="90">
                  <c:v>5142</c:v>
                </c:pt>
                <c:pt idx="91">
                  <c:v>3279</c:v>
                </c:pt>
                <c:pt idx="92">
                  <c:v>1019</c:v>
                </c:pt>
                <c:pt idx="93">
                  <c:v>4931</c:v>
                </c:pt>
                <c:pt idx="94">
                  <c:v>6999</c:v>
                </c:pt>
                <c:pt idx="95">
                  <c:v>1846</c:v>
                </c:pt>
                <c:pt idx="96">
                  <c:v>3417</c:v>
                </c:pt>
                <c:pt idx="97">
                  <c:v>4863</c:v>
                </c:pt>
                <c:pt idx="98">
                  <c:v>2277</c:v>
                </c:pt>
                <c:pt idx="99">
                  <c:v>11230</c:v>
                </c:pt>
                <c:pt idx="100">
                  <c:v>2098</c:v>
                </c:pt>
                <c:pt idx="101">
                  <c:v>10272</c:v>
                </c:pt>
                <c:pt idx="102">
                  <c:v>10533</c:v>
                </c:pt>
                <c:pt idx="103">
                  <c:v>6760</c:v>
                </c:pt>
                <c:pt idx="104">
                  <c:v>8328</c:v>
                </c:pt>
                <c:pt idx="105">
                  <c:v>15459</c:v>
                </c:pt>
                <c:pt idx="106">
                  <c:v>7485</c:v>
                </c:pt>
                <c:pt idx="107">
                  <c:v>10254</c:v>
                </c:pt>
                <c:pt idx="108">
                  <c:v>10114</c:v>
                </c:pt>
                <c:pt idx="109">
                  <c:v>11107</c:v>
                </c:pt>
                <c:pt idx="110">
                  <c:v>10320</c:v>
                </c:pt>
                <c:pt idx="111">
                  <c:v>10209</c:v>
                </c:pt>
                <c:pt idx="112">
                  <c:v>16081</c:v>
                </c:pt>
                <c:pt idx="113">
                  <c:v>10078</c:v>
                </c:pt>
                <c:pt idx="114">
                  <c:v>10001</c:v>
                </c:pt>
                <c:pt idx="115">
                  <c:v>890</c:v>
                </c:pt>
                <c:pt idx="116">
                  <c:v>2214</c:v>
                </c:pt>
                <c:pt idx="117">
                  <c:v>7640</c:v>
                </c:pt>
                <c:pt idx="118">
                  <c:v>9713</c:v>
                </c:pt>
                <c:pt idx="119">
                  <c:v>8432</c:v>
                </c:pt>
                <c:pt idx="120">
                  <c:v>7350</c:v>
                </c:pt>
                <c:pt idx="121">
                  <c:v>9353</c:v>
                </c:pt>
                <c:pt idx="122">
                  <c:v>7157</c:v>
                </c:pt>
                <c:pt idx="123">
                  <c:v>14103</c:v>
                </c:pt>
                <c:pt idx="124">
                  <c:v>5290</c:v>
                </c:pt>
                <c:pt idx="125">
                  <c:v>7497</c:v>
                </c:pt>
                <c:pt idx="126">
                  <c:v>4126</c:v>
                </c:pt>
                <c:pt idx="127">
                  <c:v>2063</c:v>
                </c:pt>
                <c:pt idx="128">
                  <c:v>5785</c:v>
                </c:pt>
                <c:pt idx="129">
                  <c:v>7625</c:v>
                </c:pt>
                <c:pt idx="130">
                  <c:v>4706</c:v>
                </c:pt>
                <c:pt idx="131">
                  <c:v>5861</c:v>
                </c:pt>
                <c:pt idx="132">
                  <c:v>4460</c:v>
                </c:pt>
                <c:pt idx="133">
                  <c:v>6406</c:v>
                </c:pt>
                <c:pt idx="134">
                  <c:v>7392</c:v>
                </c:pt>
                <c:pt idx="135">
                  <c:v>5551</c:v>
                </c:pt>
                <c:pt idx="136">
                  <c:v>8827</c:v>
                </c:pt>
                <c:pt idx="137">
                  <c:v>4662</c:v>
                </c:pt>
                <c:pt idx="138">
                  <c:v>4499</c:v>
                </c:pt>
                <c:pt idx="139">
                  <c:v>7618</c:v>
                </c:pt>
                <c:pt idx="140">
                  <c:v>11508</c:v>
                </c:pt>
                <c:pt idx="141">
                  <c:v>11943</c:v>
                </c:pt>
                <c:pt idx="142">
                  <c:v>12303</c:v>
                </c:pt>
                <c:pt idx="143">
                  <c:v>15425</c:v>
                </c:pt>
                <c:pt idx="144">
                  <c:v>8422</c:v>
                </c:pt>
                <c:pt idx="145">
                  <c:v>10226</c:v>
                </c:pt>
                <c:pt idx="146">
                  <c:v>14583</c:v>
                </c:pt>
                <c:pt idx="147">
                  <c:v>3573</c:v>
                </c:pt>
                <c:pt idx="148">
                  <c:v>3108</c:v>
                </c:pt>
                <c:pt idx="149">
                  <c:v>759</c:v>
                </c:pt>
                <c:pt idx="150">
                  <c:v>5543</c:v>
                </c:pt>
                <c:pt idx="151">
                  <c:v>3226</c:v>
                </c:pt>
                <c:pt idx="152">
                  <c:v>3023</c:v>
                </c:pt>
                <c:pt idx="153">
                  <c:v>5906</c:v>
                </c:pt>
                <c:pt idx="154">
                  <c:v>12483</c:v>
                </c:pt>
                <c:pt idx="155">
                  <c:v>8940</c:v>
                </c:pt>
                <c:pt idx="156">
                  <c:v>368</c:v>
                </c:pt>
                <c:pt idx="157">
                  <c:v>5702</c:v>
                </c:pt>
                <c:pt idx="158">
                  <c:v>10330</c:v>
                </c:pt>
                <c:pt idx="159">
                  <c:v>8778</c:v>
                </c:pt>
                <c:pt idx="160">
                  <c:v>6662</c:v>
                </c:pt>
                <c:pt idx="161">
                  <c:v>6309</c:v>
                </c:pt>
                <c:pt idx="162">
                  <c:v>1951</c:v>
                </c:pt>
                <c:pt idx="163">
                  <c:v>5563</c:v>
                </c:pt>
                <c:pt idx="164">
                  <c:v>4370</c:v>
                </c:pt>
                <c:pt idx="165">
                  <c:v>7144</c:v>
                </c:pt>
                <c:pt idx="166">
                  <c:v>2106</c:v>
                </c:pt>
                <c:pt idx="167">
                  <c:v>4152</c:v>
                </c:pt>
                <c:pt idx="168">
                  <c:v>5400</c:v>
                </c:pt>
                <c:pt idx="169">
                  <c:v>7428</c:v>
                </c:pt>
                <c:pt idx="170">
                  <c:v>5351</c:v>
                </c:pt>
                <c:pt idx="171">
                  <c:v>4299</c:v>
                </c:pt>
                <c:pt idx="172">
                  <c:v>6107</c:v>
                </c:pt>
                <c:pt idx="173">
                  <c:v>6429</c:v>
                </c:pt>
                <c:pt idx="174">
                  <c:v>6880</c:v>
                </c:pt>
                <c:pt idx="175">
                  <c:v>7476</c:v>
                </c:pt>
                <c:pt idx="176">
                  <c:v>6581</c:v>
                </c:pt>
                <c:pt idx="177">
                  <c:v>10480</c:v>
                </c:pt>
                <c:pt idx="178">
                  <c:v>7734</c:v>
                </c:pt>
                <c:pt idx="179">
                  <c:v>5129</c:v>
                </c:pt>
                <c:pt idx="180">
                  <c:v>2993</c:v>
                </c:pt>
                <c:pt idx="181">
                  <c:v>8</c:v>
                </c:pt>
                <c:pt idx="182">
                  <c:v>8433</c:v>
                </c:pt>
                <c:pt idx="183">
                  <c:v>2139</c:v>
                </c:pt>
                <c:pt idx="184">
                  <c:v>949</c:v>
                </c:pt>
                <c:pt idx="185">
                  <c:v>44</c:v>
                </c:pt>
                <c:pt idx="186">
                  <c:v>2660</c:v>
                </c:pt>
                <c:pt idx="187">
                  <c:v>5561</c:v>
                </c:pt>
                <c:pt idx="188">
                  <c:v>7239</c:v>
                </c:pt>
                <c:pt idx="189">
                  <c:v>7</c:v>
                </c:pt>
                <c:pt idx="190">
                  <c:v>2275</c:v>
                </c:pt>
                <c:pt idx="191">
                  <c:v>8</c:v>
                </c:pt>
                <c:pt idx="192">
                  <c:v>5137</c:v>
                </c:pt>
                <c:pt idx="193">
                  <c:v>5419</c:v>
                </c:pt>
                <c:pt idx="194">
                  <c:v>18</c:v>
                </c:pt>
                <c:pt idx="195">
                  <c:v>4</c:v>
                </c:pt>
                <c:pt idx="196">
                  <c:v>8426</c:v>
                </c:pt>
                <c:pt idx="197">
                  <c:v>1650</c:v>
                </c:pt>
                <c:pt idx="198">
                  <c:v>3434</c:v>
                </c:pt>
                <c:pt idx="199">
                  <c:v>6801</c:v>
                </c:pt>
                <c:pt idx="200">
                  <c:v>187</c:v>
                </c:pt>
                <c:pt idx="201">
                  <c:v>5643</c:v>
                </c:pt>
                <c:pt idx="202">
                  <c:v>9043</c:v>
                </c:pt>
                <c:pt idx="203">
                  <c:v>8144</c:v>
                </c:pt>
                <c:pt idx="204">
                  <c:v>9343</c:v>
                </c:pt>
                <c:pt idx="205">
                  <c:v>8405</c:v>
                </c:pt>
                <c:pt idx="206">
                  <c:v>8223</c:v>
                </c:pt>
                <c:pt idx="207">
                  <c:v>10067</c:v>
                </c:pt>
                <c:pt idx="208">
                  <c:v>8359</c:v>
                </c:pt>
                <c:pt idx="209">
                  <c:v>10946</c:v>
                </c:pt>
                <c:pt idx="210">
                  <c:v>9130</c:v>
                </c:pt>
                <c:pt idx="211">
                  <c:v>6544</c:v>
                </c:pt>
                <c:pt idx="212">
                  <c:v>2303</c:v>
                </c:pt>
                <c:pt idx="213">
                  <c:v>2600</c:v>
                </c:pt>
                <c:pt idx="214">
                  <c:v>4804</c:v>
                </c:pt>
                <c:pt idx="215">
                  <c:v>3271</c:v>
                </c:pt>
                <c:pt idx="216">
                  <c:v>5406</c:v>
                </c:pt>
                <c:pt idx="217">
                  <c:v>3146</c:v>
                </c:pt>
                <c:pt idx="218">
                  <c:v>2422</c:v>
                </c:pt>
                <c:pt idx="219">
                  <c:v>4239</c:v>
                </c:pt>
                <c:pt idx="220">
                  <c:v>6911</c:v>
                </c:pt>
                <c:pt idx="221">
                  <c:v>6667</c:v>
                </c:pt>
                <c:pt idx="222">
                  <c:v>5543</c:v>
                </c:pt>
                <c:pt idx="223">
                  <c:v>4195</c:v>
                </c:pt>
                <c:pt idx="224">
                  <c:v>6625</c:v>
                </c:pt>
                <c:pt idx="225">
                  <c:v>5986</c:v>
                </c:pt>
                <c:pt idx="226">
                  <c:v>278</c:v>
                </c:pt>
                <c:pt idx="227">
                  <c:v>5336</c:v>
                </c:pt>
                <c:pt idx="228">
                  <c:v>3183</c:v>
                </c:pt>
                <c:pt idx="229">
                  <c:v>6176</c:v>
                </c:pt>
                <c:pt idx="230">
                  <c:v>8205</c:v>
                </c:pt>
                <c:pt idx="231">
                  <c:v>6799</c:v>
                </c:pt>
                <c:pt idx="232">
                  <c:v>5668</c:v>
                </c:pt>
                <c:pt idx="233">
                  <c:v>7998</c:v>
                </c:pt>
                <c:pt idx="234">
                  <c:v>4195</c:v>
                </c:pt>
                <c:pt idx="235">
                  <c:v>5512</c:v>
                </c:pt>
                <c:pt idx="236">
                  <c:v>6263</c:v>
                </c:pt>
                <c:pt idx="237">
                  <c:v>8828</c:v>
                </c:pt>
                <c:pt idx="238">
                  <c:v>1260</c:v>
                </c:pt>
                <c:pt idx="239">
                  <c:v>6506</c:v>
                </c:pt>
                <c:pt idx="240">
                  <c:v>7583</c:v>
                </c:pt>
                <c:pt idx="241">
                  <c:v>6963</c:v>
                </c:pt>
                <c:pt idx="242">
                  <c:v>7165</c:v>
                </c:pt>
                <c:pt idx="243">
                  <c:v>10328</c:v>
                </c:pt>
                <c:pt idx="244">
                  <c:v>12116</c:v>
                </c:pt>
                <c:pt idx="245">
                  <c:v>7810</c:v>
                </c:pt>
                <c:pt idx="246">
                  <c:v>6670</c:v>
                </c:pt>
                <c:pt idx="247">
                  <c:v>7605</c:v>
                </c:pt>
                <c:pt idx="248">
                  <c:v>6585</c:v>
                </c:pt>
                <c:pt idx="249">
                  <c:v>8184</c:v>
                </c:pt>
                <c:pt idx="250">
                  <c:v>14002</c:v>
                </c:pt>
                <c:pt idx="251">
                  <c:v>11135</c:v>
                </c:pt>
                <c:pt idx="252">
                  <c:v>6499</c:v>
                </c:pt>
                <c:pt idx="253">
                  <c:v>12409</c:v>
                </c:pt>
                <c:pt idx="254">
                  <c:v>2937</c:v>
                </c:pt>
                <c:pt idx="255">
                  <c:v>1515</c:v>
                </c:pt>
                <c:pt idx="256">
                  <c:v>8921</c:v>
                </c:pt>
                <c:pt idx="257">
                  <c:v>11306</c:v>
                </c:pt>
                <c:pt idx="258">
                  <c:v>12252</c:v>
                </c:pt>
                <c:pt idx="259">
                  <c:v>15444</c:v>
                </c:pt>
                <c:pt idx="260">
                  <c:v>9938</c:v>
                </c:pt>
                <c:pt idx="261">
                  <c:v>4599</c:v>
                </c:pt>
                <c:pt idx="262">
                  <c:v>5594</c:v>
                </c:pt>
                <c:pt idx="263">
                  <c:v>11906</c:v>
                </c:pt>
                <c:pt idx="264">
                  <c:v>3436</c:v>
                </c:pt>
                <c:pt idx="265">
                  <c:v>10461</c:v>
                </c:pt>
                <c:pt idx="266">
                  <c:v>14873</c:v>
                </c:pt>
                <c:pt idx="267">
                  <c:v>9917</c:v>
                </c:pt>
                <c:pt idx="268">
                  <c:v>7401</c:v>
                </c:pt>
                <c:pt idx="269">
                  <c:v>8964</c:v>
                </c:pt>
                <c:pt idx="270">
                  <c:v>11080</c:v>
                </c:pt>
                <c:pt idx="271">
                  <c:v>4499</c:v>
                </c:pt>
                <c:pt idx="272">
                  <c:v>4363</c:v>
                </c:pt>
                <c:pt idx="273">
                  <c:v>10494</c:v>
                </c:pt>
                <c:pt idx="274">
                  <c:v>9776</c:v>
                </c:pt>
                <c:pt idx="275">
                  <c:v>2862</c:v>
                </c:pt>
                <c:pt idx="276">
                  <c:v>7444</c:v>
                </c:pt>
                <c:pt idx="277">
                  <c:v>19658</c:v>
                </c:pt>
                <c:pt idx="278">
                  <c:v>8468</c:v>
                </c:pt>
                <c:pt idx="279">
                  <c:v>9910</c:v>
                </c:pt>
                <c:pt idx="280">
                  <c:v>12409</c:v>
                </c:pt>
                <c:pt idx="281">
                  <c:v>4853</c:v>
                </c:pt>
                <c:pt idx="282">
                  <c:v>8955</c:v>
                </c:pt>
                <c:pt idx="283">
                  <c:v>10789</c:v>
                </c:pt>
                <c:pt idx="284">
                  <c:v>6633</c:v>
                </c:pt>
                <c:pt idx="285">
                  <c:v>9548</c:v>
                </c:pt>
                <c:pt idx="286">
                  <c:v>2101</c:v>
                </c:pt>
                <c:pt idx="287">
                  <c:v>9766</c:v>
                </c:pt>
                <c:pt idx="288">
                  <c:v>165</c:v>
                </c:pt>
                <c:pt idx="289">
                  <c:v>7225</c:v>
                </c:pt>
                <c:pt idx="290">
                  <c:v>1988</c:v>
                </c:pt>
                <c:pt idx="291">
                  <c:v>1577</c:v>
                </c:pt>
                <c:pt idx="292">
                  <c:v>9348</c:v>
                </c:pt>
                <c:pt idx="293">
                  <c:v>11761</c:v>
                </c:pt>
                <c:pt idx="294">
                  <c:v>13987</c:v>
                </c:pt>
                <c:pt idx="295">
                  <c:v>4131</c:v>
                </c:pt>
                <c:pt idx="296">
                  <c:v>14</c:v>
                </c:pt>
                <c:pt idx="297">
                  <c:v>15491</c:v>
                </c:pt>
                <c:pt idx="298">
                  <c:v>14097</c:v>
                </c:pt>
                <c:pt idx="299">
                  <c:v>10467</c:v>
                </c:pt>
                <c:pt idx="300">
                  <c:v>12437</c:v>
                </c:pt>
                <c:pt idx="301">
                  <c:v>12307</c:v>
                </c:pt>
                <c:pt idx="302">
                  <c:v>18952</c:v>
                </c:pt>
                <c:pt idx="303">
                  <c:v>12010</c:v>
                </c:pt>
                <c:pt idx="304">
                  <c:v>12480</c:v>
                </c:pt>
                <c:pt idx="305">
                  <c:v>13417</c:v>
                </c:pt>
                <c:pt idx="306">
                  <c:v>14400</c:v>
                </c:pt>
                <c:pt idx="307">
                  <c:v>12495</c:v>
                </c:pt>
                <c:pt idx="308">
                  <c:v>10148</c:v>
                </c:pt>
                <c:pt idx="309">
                  <c:v>12362</c:v>
                </c:pt>
                <c:pt idx="310">
                  <c:v>5893</c:v>
                </c:pt>
                <c:pt idx="311">
                  <c:v>11680</c:v>
                </c:pt>
                <c:pt idx="312">
                  <c:v>10976</c:v>
                </c:pt>
                <c:pt idx="313">
                  <c:v>16806</c:v>
                </c:pt>
                <c:pt idx="314">
                  <c:v>15266</c:v>
                </c:pt>
                <c:pt idx="315">
                  <c:v>12084</c:v>
                </c:pt>
                <c:pt idx="316">
                  <c:v>13513</c:v>
                </c:pt>
                <c:pt idx="317">
                  <c:v>14100</c:v>
                </c:pt>
                <c:pt idx="318">
                  <c:v>12627</c:v>
                </c:pt>
                <c:pt idx="319">
                  <c:v>10345</c:v>
                </c:pt>
                <c:pt idx="320">
                  <c:v>10146</c:v>
                </c:pt>
                <c:pt idx="321">
                  <c:v>12168</c:v>
                </c:pt>
                <c:pt idx="322">
                  <c:v>7413</c:v>
                </c:pt>
                <c:pt idx="323">
                  <c:v>11463</c:v>
                </c:pt>
                <c:pt idx="324">
                  <c:v>87</c:v>
                </c:pt>
                <c:pt idx="325">
                  <c:v>1949</c:v>
                </c:pt>
                <c:pt idx="326">
                  <c:v>6101</c:v>
                </c:pt>
                <c:pt idx="327">
                  <c:v>7478</c:v>
                </c:pt>
                <c:pt idx="328">
                  <c:v>7352</c:v>
                </c:pt>
                <c:pt idx="329">
                  <c:v>14604</c:v>
                </c:pt>
                <c:pt idx="330">
                  <c:v>9634</c:v>
                </c:pt>
                <c:pt idx="331">
                  <c:v>7338</c:v>
                </c:pt>
                <c:pt idx="332">
                  <c:v>569</c:v>
                </c:pt>
                <c:pt idx="333">
                  <c:v>6242</c:v>
                </c:pt>
                <c:pt idx="334">
                  <c:v>430</c:v>
                </c:pt>
                <c:pt idx="335">
                  <c:v>20188</c:v>
                </c:pt>
                <c:pt idx="336">
                  <c:v>25701</c:v>
                </c:pt>
                <c:pt idx="337">
                  <c:v>17395</c:v>
                </c:pt>
                <c:pt idx="338">
                  <c:v>17167</c:v>
                </c:pt>
                <c:pt idx="339">
                  <c:v>16435</c:v>
                </c:pt>
                <c:pt idx="340">
                  <c:v>17078</c:v>
                </c:pt>
                <c:pt idx="341">
                  <c:v>11693</c:v>
                </c:pt>
                <c:pt idx="342">
                  <c:v>11159</c:v>
                </c:pt>
                <c:pt idx="343">
                  <c:v>10118</c:v>
                </c:pt>
                <c:pt idx="344">
                  <c:v>16064</c:v>
                </c:pt>
                <c:pt idx="345">
                  <c:v>290</c:v>
                </c:pt>
                <c:pt idx="346">
                  <c:v>1931</c:v>
                </c:pt>
                <c:pt idx="347">
                  <c:v>5181</c:v>
                </c:pt>
                <c:pt idx="348">
                  <c:v>12026</c:v>
                </c:pt>
                <c:pt idx="349">
                  <c:v>5360</c:v>
                </c:pt>
                <c:pt idx="350">
                  <c:v>2545</c:v>
                </c:pt>
                <c:pt idx="351">
                  <c:v>1636</c:v>
                </c:pt>
                <c:pt idx="352">
                  <c:v>14179</c:v>
                </c:pt>
                <c:pt idx="353">
                  <c:v>3358</c:v>
                </c:pt>
                <c:pt idx="354">
                  <c:v>9152</c:v>
                </c:pt>
                <c:pt idx="355">
                  <c:v>13935</c:v>
                </c:pt>
                <c:pt idx="356">
                  <c:v>12846</c:v>
                </c:pt>
                <c:pt idx="357">
                  <c:v>9124</c:v>
                </c:pt>
                <c:pt idx="358">
                  <c:v>9725</c:v>
                </c:pt>
                <c:pt idx="359">
                  <c:v>8350</c:v>
                </c:pt>
                <c:pt idx="360">
                  <c:v>2240</c:v>
                </c:pt>
                <c:pt idx="361">
                  <c:v>2631</c:v>
                </c:pt>
                <c:pt idx="362">
                  <c:v>8837</c:v>
                </c:pt>
                <c:pt idx="363">
                  <c:v>3246</c:v>
                </c:pt>
                <c:pt idx="364">
                  <c:v>2174</c:v>
                </c:pt>
                <c:pt idx="365">
                  <c:v>3494</c:v>
                </c:pt>
                <c:pt idx="366">
                  <c:v>2380</c:v>
                </c:pt>
                <c:pt idx="367">
                  <c:v>3159</c:v>
                </c:pt>
                <c:pt idx="368">
                  <c:v>6835</c:v>
                </c:pt>
                <c:pt idx="369">
                  <c:v>2098</c:v>
                </c:pt>
                <c:pt idx="370">
                  <c:v>2816</c:v>
                </c:pt>
                <c:pt idx="371">
                  <c:v>1408</c:v>
                </c:pt>
                <c:pt idx="372">
                  <c:v>4592</c:v>
                </c:pt>
                <c:pt idx="373">
                  <c:v>8452</c:v>
                </c:pt>
                <c:pt idx="374">
                  <c:v>7238</c:v>
                </c:pt>
                <c:pt idx="375">
                  <c:v>3821</c:v>
                </c:pt>
                <c:pt idx="376">
                  <c:v>2332</c:v>
                </c:pt>
                <c:pt idx="377">
                  <c:v>2121</c:v>
                </c:pt>
                <c:pt idx="378">
                  <c:v>1291</c:v>
                </c:pt>
                <c:pt idx="379">
                  <c:v>1467</c:v>
                </c:pt>
                <c:pt idx="380">
                  <c:v>1022</c:v>
                </c:pt>
                <c:pt idx="381">
                  <c:v>4605</c:v>
                </c:pt>
                <c:pt idx="382">
                  <c:v>178</c:v>
                </c:pt>
                <c:pt idx="383">
                  <c:v>20</c:v>
                </c:pt>
                <c:pt idx="384">
                  <c:v>18700</c:v>
                </c:pt>
                <c:pt idx="385">
                  <c:v>27572</c:v>
                </c:pt>
                <c:pt idx="386">
                  <c:v>15260</c:v>
                </c:pt>
                <c:pt idx="387">
                  <c:v>20779</c:v>
                </c:pt>
                <c:pt idx="388">
                  <c:v>10695</c:v>
                </c:pt>
                <c:pt idx="389">
                  <c:v>24136</c:v>
                </c:pt>
                <c:pt idx="390">
                  <c:v>10910</c:v>
                </c:pt>
                <c:pt idx="391">
                  <c:v>23014</c:v>
                </c:pt>
                <c:pt idx="392">
                  <c:v>16470</c:v>
                </c:pt>
                <c:pt idx="393">
                  <c:v>28497</c:v>
                </c:pt>
                <c:pt idx="394">
                  <c:v>10622</c:v>
                </c:pt>
                <c:pt idx="395">
                  <c:v>2350</c:v>
                </c:pt>
              </c:numCache>
            </c:numRef>
          </c:xVal>
          <c:yVal>
            <c:numRef>
              <c:f>dailyActivity_merged!$O$2:$O$458</c:f>
              <c:numCache>
                <c:formatCode>General</c:formatCode>
                <c:ptCount val="396"/>
                <c:pt idx="0">
                  <c:v>1819</c:v>
                </c:pt>
                <c:pt idx="1">
                  <c:v>2154</c:v>
                </c:pt>
                <c:pt idx="2">
                  <c:v>1944</c:v>
                </c:pt>
                <c:pt idx="3">
                  <c:v>1932</c:v>
                </c:pt>
                <c:pt idx="4">
                  <c:v>1886</c:v>
                </c:pt>
                <c:pt idx="5">
                  <c:v>1820</c:v>
                </c:pt>
                <c:pt idx="6">
                  <c:v>1889</c:v>
                </c:pt>
                <c:pt idx="7">
                  <c:v>1868</c:v>
                </c:pt>
                <c:pt idx="8">
                  <c:v>1843</c:v>
                </c:pt>
                <c:pt idx="9">
                  <c:v>1850</c:v>
                </c:pt>
                <c:pt idx="10">
                  <c:v>2030</c:v>
                </c:pt>
                <c:pt idx="11">
                  <c:v>2083</c:v>
                </c:pt>
                <c:pt idx="12">
                  <c:v>1861</c:v>
                </c:pt>
                <c:pt idx="13">
                  <c:v>1755</c:v>
                </c:pt>
                <c:pt idx="14">
                  <c:v>1895</c:v>
                </c:pt>
                <c:pt idx="15">
                  <c:v>1883</c:v>
                </c:pt>
                <c:pt idx="16">
                  <c:v>1755</c:v>
                </c:pt>
                <c:pt idx="17">
                  <c:v>1811</c:v>
                </c:pt>
                <c:pt idx="18">
                  <c:v>50</c:v>
                </c:pt>
                <c:pt idx="19">
                  <c:v>1373</c:v>
                </c:pt>
                <c:pt idx="20">
                  <c:v>1264</c:v>
                </c:pt>
                <c:pt idx="21">
                  <c:v>1350</c:v>
                </c:pt>
                <c:pt idx="22">
                  <c:v>1342</c:v>
                </c:pt>
                <c:pt idx="23">
                  <c:v>1300</c:v>
                </c:pt>
                <c:pt idx="24">
                  <c:v>1313</c:v>
                </c:pt>
                <c:pt idx="25">
                  <c:v>1498</c:v>
                </c:pt>
                <c:pt idx="26">
                  <c:v>1541</c:v>
                </c:pt>
                <c:pt idx="27">
                  <c:v>1327</c:v>
                </c:pt>
                <c:pt idx="28">
                  <c:v>1452</c:v>
                </c:pt>
                <c:pt idx="29">
                  <c:v>1574</c:v>
                </c:pt>
                <c:pt idx="30">
                  <c:v>1308</c:v>
                </c:pt>
                <c:pt idx="31">
                  <c:v>1276</c:v>
                </c:pt>
                <c:pt idx="32">
                  <c:v>1278</c:v>
                </c:pt>
                <c:pt idx="33">
                  <c:v>1409</c:v>
                </c:pt>
                <c:pt idx="34">
                  <c:v>1370</c:v>
                </c:pt>
                <c:pt idx="35">
                  <c:v>1555</c:v>
                </c:pt>
                <c:pt idx="36">
                  <c:v>1469</c:v>
                </c:pt>
                <c:pt idx="37">
                  <c:v>706</c:v>
                </c:pt>
                <c:pt idx="38">
                  <c:v>3323</c:v>
                </c:pt>
                <c:pt idx="39">
                  <c:v>4029</c:v>
                </c:pt>
                <c:pt idx="40">
                  <c:v>3436</c:v>
                </c:pt>
                <c:pt idx="41">
                  <c:v>2444</c:v>
                </c:pt>
                <c:pt idx="42">
                  <c:v>3098</c:v>
                </c:pt>
                <c:pt idx="43">
                  <c:v>2925</c:v>
                </c:pt>
                <c:pt idx="44">
                  <c:v>3202</c:v>
                </c:pt>
                <c:pt idx="45">
                  <c:v>2928</c:v>
                </c:pt>
                <c:pt idx="46">
                  <c:v>3290</c:v>
                </c:pt>
                <c:pt idx="47">
                  <c:v>489</c:v>
                </c:pt>
                <c:pt idx="48">
                  <c:v>1969</c:v>
                </c:pt>
                <c:pt idx="49">
                  <c:v>1889</c:v>
                </c:pt>
                <c:pt idx="50">
                  <c:v>1636</c:v>
                </c:pt>
                <c:pt idx="51">
                  <c:v>1349</c:v>
                </c:pt>
                <c:pt idx="52">
                  <c:v>1965</c:v>
                </c:pt>
                <c:pt idx="53">
                  <c:v>1824</c:v>
                </c:pt>
                <c:pt idx="54">
                  <c:v>1807</c:v>
                </c:pt>
                <c:pt idx="55">
                  <c:v>1971</c:v>
                </c:pt>
                <c:pt idx="56">
                  <c:v>1888</c:v>
                </c:pt>
                <c:pt idx="57">
                  <c:v>2590</c:v>
                </c:pt>
                <c:pt idx="58">
                  <c:v>2783</c:v>
                </c:pt>
                <c:pt idx="59">
                  <c:v>2449</c:v>
                </c:pt>
                <c:pt idx="60">
                  <c:v>2380</c:v>
                </c:pt>
                <c:pt idx="61">
                  <c:v>2344</c:v>
                </c:pt>
                <c:pt idx="62">
                  <c:v>2202</c:v>
                </c:pt>
                <c:pt idx="63">
                  <c:v>2130</c:v>
                </c:pt>
                <c:pt idx="64">
                  <c:v>2088</c:v>
                </c:pt>
                <c:pt idx="65">
                  <c:v>2443</c:v>
                </c:pt>
                <c:pt idx="66">
                  <c:v>2442</c:v>
                </c:pt>
                <c:pt idx="67">
                  <c:v>2255</c:v>
                </c:pt>
                <c:pt idx="68">
                  <c:v>942</c:v>
                </c:pt>
                <c:pt idx="69">
                  <c:v>2645</c:v>
                </c:pt>
                <c:pt idx="70">
                  <c:v>2040</c:v>
                </c:pt>
                <c:pt idx="71">
                  <c:v>2395</c:v>
                </c:pt>
                <c:pt idx="72">
                  <c:v>2581</c:v>
                </c:pt>
                <c:pt idx="73">
                  <c:v>2735</c:v>
                </c:pt>
                <c:pt idx="74">
                  <c:v>2733</c:v>
                </c:pt>
                <c:pt idx="75">
                  <c:v>3021</c:v>
                </c:pt>
                <c:pt idx="76">
                  <c:v>2577</c:v>
                </c:pt>
                <c:pt idx="77">
                  <c:v>2811</c:v>
                </c:pt>
                <c:pt idx="78">
                  <c:v>2458</c:v>
                </c:pt>
                <c:pt idx="79">
                  <c:v>2568</c:v>
                </c:pt>
                <c:pt idx="80">
                  <c:v>1140</c:v>
                </c:pt>
                <c:pt idx="81">
                  <c:v>1407</c:v>
                </c:pt>
                <c:pt idx="82">
                  <c:v>1237</c:v>
                </c:pt>
                <c:pt idx="83">
                  <c:v>1330</c:v>
                </c:pt>
                <c:pt idx="84">
                  <c:v>1583</c:v>
                </c:pt>
                <c:pt idx="85">
                  <c:v>1538</c:v>
                </c:pt>
                <c:pt idx="86">
                  <c:v>1421</c:v>
                </c:pt>
                <c:pt idx="87">
                  <c:v>1392</c:v>
                </c:pt>
                <c:pt idx="88">
                  <c:v>1425</c:v>
                </c:pt>
                <c:pt idx="89">
                  <c:v>1413</c:v>
                </c:pt>
                <c:pt idx="90">
                  <c:v>1515</c:v>
                </c:pt>
                <c:pt idx="91">
                  <c:v>1405</c:v>
                </c:pt>
                <c:pt idx="92">
                  <c:v>600</c:v>
                </c:pt>
                <c:pt idx="93">
                  <c:v>1708</c:v>
                </c:pt>
                <c:pt idx="94">
                  <c:v>1950</c:v>
                </c:pt>
                <c:pt idx="95">
                  <c:v>1508</c:v>
                </c:pt>
                <c:pt idx="96">
                  <c:v>1625</c:v>
                </c:pt>
                <c:pt idx="97">
                  <c:v>1772</c:v>
                </c:pt>
                <c:pt idx="98">
                  <c:v>1530</c:v>
                </c:pt>
                <c:pt idx="99">
                  <c:v>2206</c:v>
                </c:pt>
                <c:pt idx="100">
                  <c:v>790</c:v>
                </c:pt>
                <c:pt idx="101">
                  <c:v>2041</c:v>
                </c:pt>
                <c:pt idx="102">
                  <c:v>2187</c:v>
                </c:pt>
                <c:pt idx="103">
                  <c:v>1929</c:v>
                </c:pt>
                <c:pt idx="104">
                  <c:v>1935</c:v>
                </c:pt>
                <c:pt idx="105">
                  <c:v>2438</c:v>
                </c:pt>
                <c:pt idx="106">
                  <c:v>2035</c:v>
                </c:pt>
                <c:pt idx="107">
                  <c:v>2099</c:v>
                </c:pt>
                <c:pt idx="108">
                  <c:v>2096</c:v>
                </c:pt>
                <c:pt idx="109">
                  <c:v>2058</c:v>
                </c:pt>
                <c:pt idx="110">
                  <c:v>2338</c:v>
                </c:pt>
                <c:pt idx="111">
                  <c:v>2104</c:v>
                </c:pt>
                <c:pt idx="112">
                  <c:v>2488</c:v>
                </c:pt>
                <c:pt idx="113">
                  <c:v>2164</c:v>
                </c:pt>
                <c:pt idx="114">
                  <c:v>2009</c:v>
                </c:pt>
                <c:pt idx="115">
                  <c:v>1335</c:v>
                </c:pt>
                <c:pt idx="116">
                  <c:v>1559</c:v>
                </c:pt>
                <c:pt idx="117">
                  <c:v>1845</c:v>
                </c:pt>
                <c:pt idx="118">
                  <c:v>2046</c:v>
                </c:pt>
                <c:pt idx="119">
                  <c:v>1953</c:v>
                </c:pt>
                <c:pt idx="120">
                  <c:v>1910</c:v>
                </c:pt>
                <c:pt idx="121">
                  <c:v>2035</c:v>
                </c:pt>
                <c:pt idx="122">
                  <c:v>1944</c:v>
                </c:pt>
                <c:pt idx="123">
                  <c:v>2257</c:v>
                </c:pt>
                <c:pt idx="124">
                  <c:v>1724</c:v>
                </c:pt>
                <c:pt idx="125">
                  <c:v>1741</c:v>
                </c:pt>
                <c:pt idx="126">
                  <c:v>2881</c:v>
                </c:pt>
                <c:pt idx="127">
                  <c:v>1144</c:v>
                </c:pt>
                <c:pt idx="128">
                  <c:v>1852</c:v>
                </c:pt>
                <c:pt idx="129">
                  <c:v>2069</c:v>
                </c:pt>
                <c:pt idx="130">
                  <c:v>1816</c:v>
                </c:pt>
                <c:pt idx="131">
                  <c:v>1878</c:v>
                </c:pt>
                <c:pt idx="132">
                  <c:v>1787</c:v>
                </c:pt>
                <c:pt idx="133">
                  <c:v>2010</c:v>
                </c:pt>
                <c:pt idx="134">
                  <c:v>2038</c:v>
                </c:pt>
                <c:pt idx="135">
                  <c:v>1815</c:v>
                </c:pt>
                <c:pt idx="136">
                  <c:v>2062</c:v>
                </c:pt>
                <c:pt idx="137">
                  <c:v>1276</c:v>
                </c:pt>
                <c:pt idx="138">
                  <c:v>1288</c:v>
                </c:pt>
                <c:pt idx="139">
                  <c:v>1490</c:v>
                </c:pt>
                <c:pt idx="140">
                  <c:v>1630</c:v>
                </c:pt>
                <c:pt idx="141">
                  <c:v>1648</c:v>
                </c:pt>
                <c:pt idx="142">
                  <c:v>1649</c:v>
                </c:pt>
                <c:pt idx="143">
                  <c:v>1783</c:v>
                </c:pt>
                <c:pt idx="144">
                  <c:v>1431</c:v>
                </c:pt>
                <c:pt idx="145">
                  <c:v>1524</c:v>
                </c:pt>
                <c:pt idx="146">
                  <c:v>1697</c:v>
                </c:pt>
                <c:pt idx="147">
                  <c:v>1232</c:v>
                </c:pt>
                <c:pt idx="148">
                  <c:v>1223</c:v>
                </c:pt>
                <c:pt idx="149">
                  <c:v>182</c:v>
                </c:pt>
                <c:pt idx="150">
                  <c:v>2990</c:v>
                </c:pt>
                <c:pt idx="151">
                  <c:v>2480</c:v>
                </c:pt>
                <c:pt idx="152">
                  <c:v>2570</c:v>
                </c:pt>
                <c:pt idx="153">
                  <c:v>3016</c:v>
                </c:pt>
                <c:pt idx="154">
                  <c:v>3830</c:v>
                </c:pt>
                <c:pt idx="155">
                  <c:v>3706</c:v>
                </c:pt>
                <c:pt idx="156">
                  <c:v>2024</c:v>
                </c:pt>
                <c:pt idx="157">
                  <c:v>2980</c:v>
                </c:pt>
                <c:pt idx="158">
                  <c:v>3728</c:v>
                </c:pt>
                <c:pt idx="159">
                  <c:v>3348</c:v>
                </c:pt>
                <c:pt idx="160">
                  <c:v>3162</c:v>
                </c:pt>
                <c:pt idx="161">
                  <c:v>3140</c:v>
                </c:pt>
                <c:pt idx="162">
                  <c:v>1980</c:v>
                </c:pt>
                <c:pt idx="163">
                  <c:v>3681</c:v>
                </c:pt>
                <c:pt idx="164">
                  <c:v>3444</c:v>
                </c:pt>
                <c:pt idx="165">
                  <c:v>3510</c:v>
                </c:pt>
                <c:pt idx="166">
                  <c:v>4010</c:v>
                </c:pt>
                <c:pt idx="167">
                  <c:v>2976</c:v>
                </c:pt>
                <c:pt idx="168">
                  <c:v>3418</c:v>
                </c:pt>
                <c:pt idx="169">
                  <c:v>3439</c:v>
                </c:pt>
                <c:pt idx="170">
                  <c:v>3338</c:v>
                </c:pt>
                <c:pt idx="171">
                  <c:v>2892</c:v>
                </c:pt>
                <c:pt idx="172">
                  <c:v>3313</c:v>
                </c:pt>
                <c:pt idx="173">
                  <c:v>3118</c:v>
                </c:pt>
                <c:pt idx="174">
                  <c:v>2966</c:v>
                </c:pt>
                <c:pt idx="175">
                  <c:v>3253</c:v>
                </c:pt>
                <c:pt idx="176">
                  <c:v>3032</c:v>
                </c:pt>
                <c:pt idx="177">
                  <c:v>4034</c:v>
                </c:pt>
                <c:pt idx="178">
                  <c:v>3264</c:v>
                </c:pt>
                <c:pt idx="179">
                  <c:v>2817</c:v>
                </c:pt>
                <c:pt idx="180">
                  <c:v>2507</c:v>
                </c:pt>
                <c:pt idx="181">
                  <c:v>446</c:v>
                </c:pt>
                <c:pt idx="182">
                  <c:v>2453</c:v>
                </c:pt>
                <c:pt idx="183">
                  <c:v>1935</c:v>
                </c:pt>
                <c:pt idx="184">
                  <c:v>1870</c:v>
                </c:pt>
                <c:pt idx="185">
                  <c:v>1782</c:v>
                </c:pt>
                <c:pt idx="186">
                  <c:v>1978</c:v>
                </c:pt>
                <c:pt idx="187">
                  <c:v>2296</c:v>
                </c:pt>
                <c:pt idx="188">
                  <c:v>2484</c:v>
                </c:pt>
                <c:pt idx="189">
                  <c:v>1787</c:v>
                </c:pt>
                <c:pt idx="190">
                  <c:v>2005</c:v>
                </c:pt>
                <c:pt idx="191">
                  <c:v>1778</c:v>
                </c:pt>
                <c:pt idx="192">
                  <c:v>2293</c:v>
                </c:pt>
                <c:pt idx="193">
                  <c:v>2259</c:v>
                </c:pt>
                <c:pt idx="194">
                  <c:v>1780</c:v>
                </c:pt>
                <c:pt idx="195">
                  <c:v>1778</c:v>
                </c:pt>
                <c:pt idx="196">
                  <c:v>2360</c:v>
                </c:pt>
                <c:pt idx="197">
                  <c:v>1952</c:v>
                </c:pt>
                <c:pt idx="198">
                  <c:v>2101</c:v>
                </c:pt>
                <c:pt idx="199">
                  <c:v>2393</c:v>
                </c:pt>
                <c:pt idx="200">
                  <c:v>538</c:v>
                </c:pt>
                <c:pt idx="201">
                  <c:v>1958</c:v>
                </c:pt>
                <c:pt idx="202">
                  <c:v>2141</c:v>
                </c:pt>
                <c:pt idx="203">
                  <c:v>2129</c:v>
                </c:pt>
                <c:pt idx="204">
                  <c:v>2216</c:v>
                </c:pt>
                <c:pt idx="205">
                  <c:v>2154</c:v>
                </c:pt>
                <c:pt idx="206">
                  <c:v>2178</c:v>
                </c:pt>
                <c:pt idx="207">
                  <c:v>2308</c:v>
                </c:pt>
                <c:pt idx="208">
                  <c:v>2201</c:v>
                </c:pt>
                <c:pt idx="209">
                  <c:v>2341</c:v>
                </c:pt>
                <c:pt idx="210">
                  <c:v>2236</c:v>
                </c:pt>
                <c:pt idx="211">
                  <c:v>2069</c:v>
                </c:pt>
                <c:pt idx="212">
                  <c:v>2010</c:v>
                </c:pt>
                <c:pt idx="213">
                  <c:v>2032</c:v>
                </c:pt>
                <c:pt idx="214">
                  <c:v>2227</c:v>
                </c:pt>
                <c:pt idx="215">
                  <c:v>2133</c:v>
                </c:pt>
                <c:pt idx="216">
                  <c:v>2317</c:v>
                </c:pt>
                <c:pt idx="217">
                  <c:v>2058</c:v>
                </c:pt>
                <c:pt idx="218">
                  <c:v>1935</c:v>
                </c:pt>
                <c:pt idx="219">
                  <c:v>2217</c:v>
                </c:pt>
                <c:pt idx="220">
                  <c:v>2374</c:v>
                </c:pt>
                <c:pt idx="221">
                  <c:v>2335</c:v>
                </c:pt>
                <c:pt idx="222">
                  <c:v>2303</c:v>
                </c:pt>
                <c:pt idx="223">
                  <c:v>2210</c:v>
                </c:pt>
                <c:pt idx="224">
                  <c:v>2424</c:v>
                </c:pt>
                <c:pt idx="225">
                  <c:v>2297</c:v>
                </c:pt>
                <c:pt idx="226">
                  <c:v>745</c:v>
                </c:pt>
                <c:pt idx="227">
                  <c:v>1902</c:v>
                </c:pt>
                <c:pt idx="228">
                  <c:v>1680</c:v>
                </c:pt>
                <c:pt idx="229">
                  <c:v>1901</c:v>
                </c:pt>
                <c:pt idx="230">
                  <c:v>2078</c:v>
                </c:pt>
                <c:pt idx="231">
                  <c:v>1876</c:v>
                </c:pt>
                <c:pt idx="232">
                  <c:v>1853</c:v>
                </c:pt>
                <c:pt idx="233">
                  <c:v>2235</c:v>
                </c:pt>
                <c:pt idx="234">
                  <c:v>1778</c:v>
                </c:pt>
                <c:pt idx="235">
                  <c:v>1882</c:v>
                </c:pt>
                <c:pt idx="236">
                  <c:v>1906</c:v>
                </c:pt>
                <c:pt idx="237">
                  <c:v>2149</c:v>
                </c:pt>
                <c:pt idx="238">
                  <c:v>722</c:v>
                </c:pt>
                <c:pt idx="239">
                  <c:v>2886</c:v>
                </c:pt>
                <c:pt idx="240">
                  <c:v>2915</c:v>
                </c:pt>
                <c:pt idx="241">
                  <c:v>2895</c:v>
                </c:pt>
                <c:pt idx="242">
                  <c:v>2923</c:v>
                </c:pt>
                <c:pt idx="243">
                  <c:v>3323</c:v>
                </c:pt>
                <c:pt idx="244">
                  <c:v>3357</c:v>
                </c:pt>
                <c:pt idx="245">
                  <c:v>2931</c:v>
                </c:pt>
                <c:pt idx="246">
                  <c:v>2848</c:v>
                </c:pt>
                <c:pt idx="247">
                  <c:v>2943</c:v>
                </c:pt>
                <c:pt idx="248">
                  <c:v>2822</c:v>
                </c:pt>
                <c:pt idx="249">
                  <c:v>2981</c:v>
                </c:pt>
                <c:pt idx="250">
                  <c:v>3597</c:v>
                </c:pt>
                <c:pt idx="251">
                  <c:v>3224</c:v>
                </c:pt>
                <c:pt idx="252">
                  <c:v>2677</c:v>
                </c:pt>
                <c:pt idx="253">
                  <c:v>2142</c:v>
                </c:pt>
                <c:pt idx="254">
                  <c:v>1615</c:v>
                </c:pt>
                <c:pt idx="255">
                  <c:v>1481</c:v>
                </c:pt>
                <c:pt idx="256">
                  <c:v>1892</c:v>
                </c:pt>
                <c:pt idx="257">
                  <c:v>2086</c:v>
                </c:pt>
                <c:pt idx="258">
                  <c:v>2044</c:v>
                </c:pt>
                <c:pt idx="259">
                  <c:v>2249</c:v>
                </c:pt>
                <c:pt idx="260">
                  <c:v>2019</c:v>
                </c:pt>
                <c:pt idx="261">
                  <c:v>1692</c:v>
                </c:pt>
                <c:pt idx="262">
                  <c:v>1712</c:v>
                </c:pt>
                <c:pt idx="263">
                  <c:v>2065</c:v>
                </c:pt>
                <c:pt idx="264">
                  <c:v>633</c:v>
                </c:pt>
                <c:pt idx="265">
                  <c:v>3625</c:v>
                </c:pt>
                <c:pt idx="266">
                  <c:v>4430</c:v>
                </c:pt>
                <c:pt idx="267">
                  <c:v>3427</c:v>
                </c:pt>
                <c:pt idx="268">
                  <c:v>3492</c:v>
                </c:pt>
                <c:pt idx="269">
                  <c:v>3597</c:v>
                </c:pt>
                <c:pt idx="270">
                  <c:v>3765</c:v>
                </c:pt>
                <c:pt idx="271">
                  <c:v>2775</c:v>
                </c:pt>
                <c:pt idx="272">
                  <c:v>2486</c:v>
                </c:pt>
                <c:pt idx="273">
                  <c:v>3817</c:v>
                </c:pt>
                <c:pt idx="274">
                  <c:v>3378</c:v>
                </c:pt>
                <c:pt idx="275">
                  <c:v>1511</c:v>
                </c:pt>
                <c:pt idx="276">
                  <c:v>2210</c:v>
                </c:pt>
                <c:pt idx="277">
                  <c:v>2884</c:v>
                </c:pt>
                <c:pt idx="278">
                  <c:v>2262</c:v>
                </c:pt>
                <c:pt idx="279">
                  <c:v>2445</c:v>
                </c:pt>
                <c:pt idx="280">
                  <c:v>2694</c:v>
                </c:pt>
                <c:pt idx="281">
                  <c:v>1903</c:v>
                </c:pt>
                <c:pt idx="282">
                  <c:v>2482</c:v>
                </c:pt>
                <c:pt idx="283">
                  <c:v>2617</c:v>
                </c:pt>
                <c:pt idx="284">
                  <c:v>2778</c:v>
                </c:pt>
                <c:pt idx="285">
                  <c:v>3119</c:v>
                </c:pt>
                <c:pt idx="286">
                  <c:v>2224</c:v>
                </c:pt>
                <c:pt idx="287">
                  <c:v>2442</c:v>
                </c:pt>
                <c:pt idx="288">
                  <c:v>1849</c:v>
                </c:pt>
                <c:pt idx="289">
                  <c:v>3065</c:v>
                </c:pt>
                <c:pt idx="290">
                  <c:v>2207</c:v>
                </c:pt>
                <c:pt idx="291">
                  <c:v>1977</c:v>
                </c:pt>
                <c:pt idx="292">
                  <c:v>4286</c:v>
                </c:pt>
                <c:pt idx="293">
                  <c:v>3920</c:v>
                </c:pt>
                <c:pt idx="294">
                  <c:v>3856</c:v>
                </c:pt>
                <c:pt idx="295">
                  <c:v>2584</c:v>
                </c:pt>
                <c:pt idx="296">
                  <c:v>787</c:v>
                </c:pt>
                <c:pt idx="297">
                  <c:v>2244</c:v>
                </c:pt>
                <c:pt idx="298">
                  <c:v>2188</c:v>
                </c:pt>
                <c:pt idx="299">
                  <c:v>2014</c:v>
                </c:pt>
                <c:pt idx="300">
                  <c:v>2115</c:v>
                </c:pt>
                <c:pt idx="301">
                  <c:v>2055</c:v>
                </c:pt>
                <c:pt idx="302">
                  <c:v>2437</c:v>
                </c:pt>
                <c:pt idx="303">
                  <c:v>2158</c:v>
                </c:pt>
                <c:pt idx="304">
                  <c:v>2170</c:v>
                </c:pt>
                <c:pt idx="305">
                  <c:v>2244</c:v>
                </c:pt>
                <c:pt idx="306">
                  <c:v>2188</c:v>
                </c:pt>
                <c:pt idx="307">
                  <c:v>2231</c:v>
                </c:pt>
                <c:pt idx="308">
                  <c:v>2100</c:v>
                </c:pt>
                <c:pt idx="309">
                  <c:v>2188</c:v>
                </c:pt>
                <c:pt idx="310">
                  <c:v>917</c:v>
                </c:pt>
                <c:pt idx="311">
                  <c:v>2573</c:v>
                </c:pt>
                <c:pt idx="312">
                  <c:v>2575</c:v>
                </c:pt>
                <c:pt idx="313">
                  <c:v>3086</c:v>
                </c:pt>
                <c:pt idx="314">
                  <c:v>2886</c:v>
                </c:pt>
                <c:pt idx="315">
                  <c:v>2676</c:v>
                </c:pt>
                <c:pt idx="316">
                  <c:v>2811</c:v>
                </c:pt>
                <c:pt idx="317">
                  <c:v>2840</c:v>
                </c:pt>
                <c:pt idx="318">
                  <c:v>2871</c:v>
                </c:pt>
                <c:pt idx="319">
                  <c:v>2613</c:v>
                </c:pt>
                <c:pt idx="320">
                  <c:v>2700</c:v>
                </c:pt>
                <c:pt idx="321">
                  <c:v>2871</c:v>
                </c:pt>
                <c:pt idx="322">
                  <c:v>1023</c:v>
                </c:pt>
                <c:pt idx="323">
                  <c:v>2496</c:v>
                </c:pt>
                <c:pt idx="324">
                  <c:v>1641</c:v>
                </c:pt>
                <c:pt idx="325">
                  <c:v>1794</c:v>
                </c:pt>
                <c:pt idx="326">
                  <c:v>2421</c:v>
                </c:pt>
                <c:pt idx="327">
                  <c:v>2439</c:v>
                </c:pt>
                <c:pt idx="328">
                  <c:v>2233</c:v>
                </c:pt>
                <c:pt idx="329">
                  <c:v>2862</c:v>
                </c:pt>
                <c:pt idx="330">
                  <c:v>2752</c:v>
                </c:pt>
                <c:pt idx="331">
                  <c:v>2519</c:v>
                </c:pt>
                <c:pt idx="332">
                  <c:v>1799</c:v>
                </c:pt>
                <c:pt idx="333">
                  <c:v>2543</c:v>
                </c:pt>
                <c:pt idx="334">
                  <c:v>625</c:v>
                </c:pt>
                <c:pt idx="335">
                  <c:v>3377</c:v>
                </c:pt>
                <c:pt idx="336">
                  <c:v>3697</c:v>
                </c:pt>
                <c:pt idx="337">
                  <c:v>3209</c:v>
                </c:pt>
                <c:pt idx="338">
                  <c:v>3167</c:v>
                </c:pt>
                <c:pt idx="339">
                  <c:v>3122</c:v>
                </c:pt>
                <c:pt idx="340">
                  <c:v>3176</c:v>
                </c:pt>
                <c:pt idx="341">
                  <c:v>2790</c:v>
                </c:pt>
                <c:pt idx="342">
                  <c:v>2715</c:v>
                </c:pt>
                <c:pt idx="343">
                  <c:v>2684</c:v>
                </c:pt>
                <c:pt idx="344">
                  <c:v>3097</c:v>
                </c:pt>
                <c:pt idx="345">
                  <c:v>791</c:v>
                </c:pt>
                <c:pt idx="346">
                  <c:v>1607</c:v>
                </c:pt>
                <c:pt idx="347">
                  <c:v>1776</c:v>
                </c:pt>
                <c:pt idx="348">
                  <c:v>2162</c:v>
                </c:pt>
                <c:pt idx="349">
                  <c:v>1832</c:v>
                </c:pt>
                <c:pt idx="350">
                  <c:v>1657</c:v>
                </c:pt>
                <c:pt idx="351">
                  <c:v>1377</c:v>
                </c:pt>
                <c:pt idx="352">
                  <c:v>3669</c:v>
                </c:pt>
                <c:pt idx="353">
                  <c:v>2702</c:v>
                </c:pt>
                <c:pt idx="354">
                  <c:v>3304</c:v>
                </c:pt>
                <c:pt idx="355">
                  <c:v>4234</c:v>
                </c:pt>
                <c:pt idx="356">
                  <c:v>4128</c:v>
                </c:pt>
                <c:pt idx="357">
                  <c:v>3798</c:v>
                </c:pt>
                <c:pt idx="358">
                  <c:v>3839</c:v>
                </c:pt>
                <c:pt idx="359">
                  <c:v>3713</c:v>
                </c:pt>
                <c:pt idx="360">
                  <c:v>2606</c:v>
                </c:pt>
                <c:pt idx="361">
                  <c:v>2624</c:v>
                </c:pt>
                <c:pt idx="362">
                  <c:v>3775</c:v>
                </c:pt>
                <c:pt idx="363">
                  <c:v>1882</c:v>
                </c:pt>
                <c:pt idx="364">
                  <c:v>2360</c:v>
                </c:pt>
                <c:pt idx="365">
                  <c:v>2517</c:v>
                </c:pt>
                <c:pt idx="366">
                  <c:v>2400</c:v>
                </c:pt>
                <c:pt idx="367">
                  <c:v>2462</c:v>
                </c:pt>
                <c:pt idx="368">
                  <c:v>2786</c:v>
                </c:pt>
                <c:pt idx="369">
                  <c:v>2354</c:v>
                </c:pt>
                <c:pt idx="370">
                  <c:v>2437</c:v>
                </c:pt>
                <c:pt idx="371">
                  <c:v>1814</c:v>
                </c:pt>
                <c:pt idx="372">
                  <c:v>2260</c:v>
                </c:pt>
                <c:pt idx="373">
                  <c:v>3004</c:v>
                </c:pt>
                <c:pt idx="374">
                  <c:v>2667</c:v>
                </c:pt>
                <c:pt idx="375">
                  <c:v>2229</c:v>
                </c:pt>
                <c:pt idx="376">
                  <c:v>2100</c:v>
                </c:pt>
                <c:pt idx="377">
                  <c:v>2114</c:v>
                </c:pt>
                <c:pt idx="378">
                  <c:v>1961</c:v>
                </c:pt>
                <c:pt idx="379">
                  <c:v>1953</c:v>
                </c:pt>
                <c:pt idx="380">
                  <c:v>1890</c:v>
                </c:pt>
                <c:pt idx="381">
                  <c:v>2253</c:v>
                </c:pt>
                <c:pt idx="382">
                  <c:v>1725</c:v>
                </c:pt>
                <c:pt idx="383">
                  <c:v>728</c:v>
                </c:pt>
                <c:pt idx="384">
                  <c:v>3527</c:v>
                </c:pt>
                <c:pt idx="385">
                  <c:v>4220</c:v>
                </c:pt>
                <c:pt idx="386">
                  <c:v>3864</c:v>
                </c:pt>
                <c:pt idx="387">
                  <c:v>3662</c:v>
                </c:pt>
                <c:pt idx="388">
                  <c:v>2834</c:v>
                </c:pt>
                <c:pt idx="389">
                  <c:v>4039</c:v>
                </c:pt>
                <c:pt idx="390">
                  <c:v>2947</c:v>
                </c:pt>
                <c:pt idx="391">
                  <c:v>4196</c:v>
                </c:pt>
                <c:pt idx="392">
                  <c:v>3841</c:v>
                </c:pt>
                <c:pt idx="393">
                  <c:v>4526</c:v>
                </c:pt>
                <c:pt idx="394">
                  <c:v>2820</c:v>
                </c:pt>
                <c:pt idx="395">
                  <c:v>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26-4B6A-9E9C-8CBFE0ED5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381967"/>
        <c:axId val="315379887"/>
      </c:scatterChart>
      <c:valAx>
        <c:axId val="31538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379887"/>
        <c:crosses val="autoZero"/>
        <c:crossBetween val="midCat"/>
      </c:valAx>
      <c:valAx>
        <c:axId val="31537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38196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3390" cy="6058829"/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476845A4-68FD-41F3-B846-270780637F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stor" refreshedDate="46131.644579861109" createdVersion="7" refreshedVersion="7" minRefreshableVersion="3" recordCount="457" xr:uid="{00000000-000A-0000-FFFF-FFFF04000000}">
  <cacheSource type="worksheet">
    <worksheetSource ref="A1:P458" sheet="dailyActivity_merged"/>
  </cacheSource>
  <cacheFields count="16">
    <cacheField name="Id" numFmtId="0">
      <sharedItems containsSemiMixedTypes="0" containsString="0" containsNumber="1" containsInteger="1" minValue="1503960366" maxValue="8877689391"/>
    </cacheField>
    <cacheField name="ActivityDate" numFmtId="14">
      <sharedItems containsSemiMixedTypes="0" containsNonDate="0" containsDate="1" containsString="0" minDate="2016-03-12T00:00:00" maxDate="2016-04-13T00:00:00"/>
    </cacheField>
    <cacheField name="TotalSteps" numFmtId="0">
      <sharedItems containsSemiMixedTypes="0" containsString="0" containsNumber="1" containsInteger="1" minValue="0" maxValue="28497" count="389">
        <n v="11004"/>
        <n v="17609"/>
        <n v="12736"/>
        <n v="13231"/>
        <n v="12041"/>
        <n v="10970"/>
        <n v="12256"/>
        <n v="12262"/>
        <n v="11248"/>
        <n v="10016"/>
        <n v="14557"/>
        <n v="14844"/>
        <n v="11974"/>
        <n v="10198"/>
        <n v="12521"/>
        <n v="12432"/>
        <n v="10057"/>
        <n v="10990"/>
        <n v="224"/>
        <n v="1810"/>
        <n v="815"/>
        <n v="1985"/>
        <n v="1905"/>
        <n v="1552"/>
        <n v="1675"/>
        <n v="4506"/>
        <n v="9218"/>
        <n v="1556"/>
        <n v="2910"/>
        <n v="18464"/>
        <n v="1335"/>
        <n v="1004"/>
        <n v="1111"/>
        <n v="6344"/>
        <n v="3572"/>
        <n v="3910"/>
        <n v="10000"/>
        <n v="6627"/>
        <n v="4636"/>
        <n v="20237"/>
        <n v="12912"/>
        <n v="2819"/>
        <n v="9921"/>
        <n v="8046"/>
        <n v="11166"/>
        <n v="7842"/>
        <n v="13840"/>
        <n v="1329"/>
        <n v="6847"/>
        <n v="5367"/>
        <n v="2841"/>
        <n v="0"/>
        <n v="7"/>
        <n v="5316"/>
        <n v="4979"/>
        <n v="6556"/>
        <n v="5430"/>
        <n v="4317"/>
        <n v="5662"/>
        <n v="3198"/>
        <n v="2352"/>
        <n v="2234"/>
        <n v="1259"/>
        <n v="768"/>
        <n v="519"/>
        <n v="2523"/>
        <n v="2105"/>
        <n v="1209"/>
        <n v="24"/>
        <n v="13603"/>
        <n v="5477"/>
        <n v="11144"/>
        <n v="15313"/>
        <n v="10805"/>
        <n v="15392"/>
        <n v="18247"/>
        <n v="13023"/>
        <n v="16267"/>
        <n v="10005"/>
        <n v="10106"/>
        <n v="6717"/>
        <n v="2605"/>
        <n v="1229"/>
        <n v="2308"/>
        <n v="6679"/>
        <n v="5645"/>
        <n v="3180"/>
        <n v="2767"/>
        <n v="3762"/>
        <n v="3098"/>
        <n v="5142"/>
        <n v="3279"/>
        <n v="1019"/>
        <n v="4931"/>
        <n v="6999"/>
        <n v="1846"/>
        <n v="3417"/>
        <n v="4863"/>
        <n v="2277"/>
        <n v="11230"/>
        <n v="2098"/>
        <n v="10272"/>
        <n v="10533"/>
        <n v="6760"/>
        <n v="8328"/>
        <n v="15459"/>
        <n v="7485"/>
        <n v="10254"/>
        <n v="10114"/>
        <n v="11107"/>
        <n v="10320"/>
        <n v="10209"/>
        <n v="16081"/>
        <n v="10078"/>
        <n v="10001"/>
        <n v="890"/>
        <n v="2214"/>
        <n v="7640"/>
        <n v="9713"/>
        <n v="8432"/>
        <n v="7350"/>
        <n v="9353"/>
        <n v="7157"/>
        <n v="14103"/>
        <n v="5290"/>
        <n v="7497"/>
        <n v="4126"/>
        <n v="2063"/>
        <n v="5785"/>
        <n v="7625"/>
        <n v="4706"/>
        <n v="5861"/>
        <n v="4460"/>
        <n v="6406"/>
        <n v="7392"/>
        <n v="5551"/>
        <n v="8827"/>
        <n v="4662"/>
        <n v="4499"/>
        <n v="7618"/>
        <n v="11508"/>
        <n v="11943"/>
        <n v="12303"/>
        <n v="15425"/>
        <n v="8422"/>
        <n v="10226"/>
        <n v="14583"/>
        <n v="3573"/>
        <n v="3108"/>
        <n v="759"/>
        <n v="5543"/>
        <n v="3226"/>
        <n v="3023"/>
        <n v="5906"/>
        <n v="12483"/>
        <n v="8940"/>
        <n v="368"/>
        <n v="5702"/>
        <n v="10330"/>
        <n v="8778"/>
        <n v="6662"/>
        <n v="6309"/>
        <n v="1951"/>
        <n v="5563"/>
        <n v="4370"/>
        <n v="7144"/>
        <n v="2106"/>
        <n v="4152"/>
        <n v="5400"/>
        <n v="7428"/>
        <n v="5351"/>
        <n v="4299"/>
        <n v="6107"/>
        <n v="6429"/>
        <n v="6880"/>
        <n v="7476"/>
        <n v="6581"/>
        <n v="10480"/>
        <n v="7734"/>
        <n v="5129"/>
        <n v="2993"/>
        <n v="8"/>
        <n v="8433"/>
        <n v="2139"/>
        <n v="949"/>
        <n v="44"/>
        <n v="2660"/>
        <n v="5561"/>
        <n v="7239"/>
        <n v="2275"/>
        <n v="5137"/>
        <n v="5419"/>
        <n v="18"/>
        <n v="4"/>
        <n v="8426"/>
        <n v="1650"/>
        <n v="3434"/>
        <n v="6801"/>
        <n v="187"/>
        <n v="5643"/>
        <n v="9043"/>
        <n v="8144"/>
        <n v="9343"/>
        <n v="8405"/>
        <n v="8223"/>
        <n v="10067"/>
        <n v="8359"/>
        <n v="10946"/>
        <n v="9130"/>
        <n v="6544"/>
        <n v="2303"/>
        <n v="2600"/>
        <n v="4804"/>
        <n v="3271"/>
        <n v="5406"/>
        <n v="3146"/>
        <n v="2422"/>
        <n v="4239"/>
        <n v="6911"/>
        <n v="6667"/>
        <n v="4195"/>
        <n v="6625"/>
        <n v="5986"/>
        <n v="278"/>
        <n v="5336"/>
        <n v="3183"/>
        <n v="6176"/>
        <n v="8205"/>
        <n v="6799"/>
        <n v="5668"/>
        <n v="7998"/>
        <n v="5512"/>
        <n v="6263"/>
        <n v="8828"/>
        <n v="1260"/>
        <n v="6506"/>
        <n v="7583"/>
        <n v="6963"/>
        <n v="7165"/>
        <n v="10328"/>
        <n v="12116"/>
        <n v="7810"/>
        <n v="6670"/>
        <n v="7605"/>
        <n v="6585"/>
        <n v="8184"/>
        <n v="14002"/>
        <n v="11135"/>
        <n v="6499"/>
        <n v="12409"/>
        <n v="2937"/>
        <n v="1515"/>
        <n v="8921"/>
        <n v="11306"/>
        <n v="12252"/>
        <n v="15444"/>
        <n v="9938"/>
        <n v="4599"/>
        <n v="5594"/>
        <n v="11906"/>
        <n v="3436"/>
        <n v="10461"/>
        <n v="14873"/>
        <n v="9917"/>
        <n v="7401"/>
        <n v="8964"/>
        <n v="11080"/>
        <n v="4363"/>
        <n v="10494"/>
        <n v="9776"/>
        <n v="2862"/>
        <n v="7444"/>
        <n v="19658"/>
        <n v="8468"/>
        <n v="9910"/>
        <n v="4853"/>
        <n v="8955"/>
        <n v="10789"/>
        <n v="6633"/>
        <n v="9548"/>
        <n v="2101"/>
        <n v="9766"/>
        <n v="165"/>
        <n v="7225"/>
        <n v="1988"/>
        <n v="1577"/>
        <n v="9348"/>
        <n v="11761"/>
        <n v="13987"/>
        <n v="4131"/>
        <n v="14"/>
        <n v="15491"/>
        <n v="14097"/>
        <n v="10467"/>
        <n v="12437"/>
        <n v="12307"/>
        <n v="18952"/>
        <n v="12010"/>
        <n v="12480"/>
        <n v="13417"/>
        <n v="14400"/>
        <n v="12495"/>
        <n v="10148"/>
        <n v="12362"/>
        <n v="5893"/>
        <n v="11680"/>
        <n v="10976"/>
        <n v="16806"/>
        <n v="15266"/>
        <n v="12084"/>
        <n v="13513"/>
        <n v="14100"/>
        <n v="12627"/>
        <n v="10345"/>
        <n v="10146"/>
        <n v="12168"/>
        <n v="7413"/>
        <n v="11463"/>
        <n v="87"/>
        <n v="1949"/>
        <n v="6101"/>
        <n v="7478"/>
        <n v="7352"/>
        <n v="14604"/>
        <n v="9634"/>
        <n v="7338"/>
        <n v="569"/>
        <n v="6242"/>
        <n v="430"/>
        <n v="20188"/>
        <n v="25701"/>
        <n v="17395"/>
        <n v="17167"/>
        <n v="16435"/>
        <n v="17078"/>
        <n v="11693"/>
        <n v="11159"/>
        <n v="10118"/>
        <n v="16064"/>
        <n v="290"/>
        <n v="1931"/>
        <n v="5181"/>
        <n v="12026"/>
        <n v="5360"/>
        <n v="2545"/>
        <n v="1636"/>
        <n v="14179"/>
        <n v="3358"/>
        <n v="9152"/>
        <n v="13935"/>
        <n v="12846"/>
        <n v="9124"/>
        <n v="9725"/>
        <n v="8350"/>
        <n v="2240"/>
        <n v="2631"/>
        <n v="8837"/>
        <n v="3246"/>
        <n v="2174"/>
        <n v="3494"/>
        <n v="2380"/>
        <n v="3159"/>
        <n v="6835"/>
        <n v="2816"/>
        <n v="1408"/>
        <n v="4592"/>
        <n v="8452"/>
        <n v="7238"/>
        <n v="3821"/>
        <n v="2332"/>
        <n v="2121"/>
        <n v="1291"/>
        <n v="1467"/>
        <n v="1022"/>
        <n v="4605"/>
        <n v="178"/>
        <n v="20"/>
        <n v="18700"/>
        <n v="27572"/>
        <n v="15260"/>
        <n v="20779"/>
        <n v="10695"/>
        <n v="24136"/>
        <n v="10910"/>
        <n v="23014"/>
        <n v="16470"/>
        <n v="28497"/>
        <n v="10622"/>
        <n v="2350"/>
      </sharedItems>
    </cacheField>
    <cacheField name="TotalDistance" numFmtId="0">
      <sharedItems containsDate="1" containsMixedTypes="1" minDate="1899-12-31T00:00:00" maxDate="2025-10-02T00:00:00"/>
    </cacheField>
    <cacheField name="TrackerDistance" numFmtId="0">
      <sharedItems containsDate="1" containsMixedTypes="1" minDate="1899-12-31T00:00:00" maxDate="2025-08-02T00:00:00"/>
    </cacheField>
    <cacheField name="LoggedActivitiesDistance" numFmtId="0">
      <sharedItems containsMixedTypes="1" containsNumber="1" containsInteger="1" minValue="0" maxValue="0"/>
    </cacheField>
    <cacheField name="VeryActiveDistance" numFmtId="0">
      <sharedItems containsDate="1" containsMixedTypes="1" minDate="1899-12-31T00:00:00" maxDate="1899-12-31T00:21:04"/>
    </cacheField>
    <cacheField name="ModeratelyActiveDistance" numFmtId="0">
      <sharedItems containsDate="1" containsMixedTypes="1" minDate="1899-12-31T00:00:00" maxDate="2025-01-02T00:00:00"/>
    </cacheField>
    <cacheField name="LightActiveDistance" numFmtId="0">
      <sharedItems containsDate="1" containsMixedTypes="1" minDate="1899-12-31T00:00:00" maxDate="1899-12-31T00:25:04"/>
    </cacheField>
    <cacheField name="SedentaryActiveDistance" numFmtId="0">
      <sharedItems containsMixedTypes="1" containsNumber="1" containsInteger="1" minValue="0" maxValue="0"/>
    </cacheField>
    <cacheField name="VeryActiveMinutes" numFmtId="0">
      <sharedItems containsSemiMixedTypes="0" containsString="0" containsNumber="1" containsInteger="1" minValue="0" maxValue="202"/>
    </cacheField>
    <cacheField name="FairlyActiveMinutes" numFmtId="0">
      <sharedItems containsSemiMixedTypes="0" containsString="0" containsNumber="1" containsInteger="1" minValue="0" maxValue="660"/>
    </cacheField>
    <cacheField name="LightlyActiveMinutes" numFmtId="0">
      <sharedItems containsSemiMixedTypes="0" containsString="0" containsNumber="1" containsInteger="1" minValue="0" maxValue="720"/>
    </cacheField>
    <cacheField name="SedentaryMinutes" numFmtId="0">
      <sharedItems containsSemiMixedTypes="0" containsString="0" containsNumber="1" containsInteger="1" minValue="32" maxValue="1440"/>
    </cacheField>
    <cacheField name="Calories" numFmtId="0">
      <sharedItems containsSemiMixedTypes="0" containsString="0" containsNumber="1" containsInteger="1" minValue="0" maxValue="4562"/>
    </cacheField>
    <cacheField name="DayType" numFmtId="0">
      <sharedItems count="2">
        <s v="Weekday"/>
        <s v="Weeken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7">
  <r>
    <n v="1503960366"/>
    <d v="2016-03-25T00:00:00"/>
    <x v="0"/>
    <s v="7.1100001335144"/>
    <s v="7.1100001335144"/>
    <n v="0"/>
    <s v="2.5699999332428"/>
    <s v="0.46000000834465"/>
    <s v="4.07000017166138"/>
    <n v="0"/>
    <n v="33"/>
    <n v="12"/>
    <n v="205"/>
    <n v="804"/>
    <n v="1819"/>
    <x v="0"/>
  </r>
  <r>
    <n v="1503960366"/>
    <d v="2016-03-26T00:00:00"/>
    <x v="1"/>
    <s v="11.5500001907349"/>
    <s v="11.5500001907349"/>
    <n v="0"/>
    <s v="6.92000007629395"/>
    <s v="0.730000019073486"/>
    <s v="3.91000008583069"/>
    <n v="0"/>
    <n v="89"/>
    <n v="17"/>
    <n v="274"/>
    <n v="588"/>
    <n v="2154"/>
    <x v="1"/>
  </r>
  <r>
    <n v="1503960366"/>
    <d v="2016-03-27T00:00:00"/>
    <x v="2"/>
    <s v="8.52999973297119"/>
    <s v="8.52999973297119"/>
    <n v="0"/>
    <s v="4.65999984741211"/>
    <s v="0.159999996423721"/>
    <s v="3.71000003814697"/>
    <n v="0"/>
    <n v="56"/>
    <n v="5"/>
    <n v="268"/>
    <n v="605"/>
    <n v="1944"/>
    <x v="1"/>
  </r>
  <r>
    <n v="1503960366"/>
    <d v="2016-03-28T00:00:00"/>
    <x v="3"/>
    <s v="8.93000030517578"/>
    <s v="8.93000030517578"/>
    <n v="0"/>
    <s v="3.19000005722046"/>
    <s v="0.790000021457672"/>
    <s v="4.94999980926514"/>
    <n v="0"/>
    <n v="39"/>
    <n v="20"/>
    <n v="224"/>
    <n v="1080"/>
    <n v="1932"/>
    <x v="0"/>
  </r>
  <r>
    <n v="1503960366"/>
    <d v="2016-03-29T00:00:00"/>
    <x v="4"/>
    <s v="7.84999990463257"/>
    <s v="7.84999990463257"/>
    <n v="0"/>
    <s v="2.16000008583069"/>
    <s v="1.0900000333786"/>
    <s v="4.6100001335144"/>
    <n v="0"/>
    <n v="28"/>
    <n v="28"/>
    <n v="243"/>
    <n v="763"/>
    <n v="1886"/>
    <x v="0"/>
  </r>
  <r>
    <n v="1503960366"/>
    <d v="2016-03-30T00:00:00"/>
    <x v="5"/>
    <s v="7.15999984741211"/>
    <s v="7.15999984741211"/>
    <n v="0"/>
    <s v="2.35999989509583"/>
    <s v="0.509999990463257"/>
    <s v="4.28999996185303"/>
    <n v="0"/>
    <n v="30"/>
    <n v="13"/>
    <n v="223"/>
    <n v="1174"/>
    <n v="1820"/>
    <x v="0"/>
  </r>
  <r>
    <n v="1503960366"/>
    <d v="2016-03-31T00:00:00"/>
    <x v="6"/>
    <s v="7.8600001335144"/>
    <s v="7.8600001335144"/>
    <n v="0"/>
    <s v="2.28999996185303"/>
    <s v="0.490000009536743"/>
    <s v="5.03999996185303"/>
    <n v="0"/>
    <n v="33"/>
    <n v="12"/>
    <n v="239"/>
    <n v="820"/>
    <n v="1889"/>
    <x v="0"/>
  </r>
  <r>
    <n v="1503960366"/>
    <d v="2016-04-01T00:00:00"/>
    <x v="7"/>
    <s v="7.86999988555908"/>
    <s v="7.86999988555908"/>
    <n v="0"/>
    <s v="3.3199999332428"/>
    <s v="0.829999983310699"/>
    <s v="3.64000010490417"/>
    <n v="0"/>
    <n v="47"/>
    <n v="21"/>
    <n v="200"/>
    <n v="866"/>
    <n v="1868"/>
    <x v="0"/>
  </r>
  <r>
    <n v="1503960366"/>
    <d v="2016-04-02T00:00:00"/>
    <x v="8"/>
    <d v="2025-07-01T00:00:00"/>
    <d v="2025-07-01T00:00:00"/>
    <n v="0"/>
    <n v="3"/>
    <s v="0.449999988079071"/>
    <s v="3.74000000953674"/>
    <n v="0"/>
    <n v="40"/>
    <n v="11"/>
    <n v="244"/>
    <n v="636"/>
    <n v="1843"/>
    <x v="1"/>
  </r>
  <r>
    <n v="1503960366"/>
    <d v="2016-04-03T00:00:00"/>
    <x v="9"/>
    <s v="6.36999988555908"/>
    <s v="6.36999988555908"/>
    <n v="0"/>
    <s v="0.910000026226044"/>
    <s v="1.27999997138977"/>
    <s v="4.17999982833862"/>
    <n v="0"/>
    <n v="15"/>
    <n v="30"/>
    <n v="314"/>
    <n v="655"/>
    <n v="1850"/>
    <x v="1"/>
  </r>
  <r>
    <n v="1503960366"/>
    <d v="2016-04-04T00:00:00"/>
    <x v="10"/>
    <s v="9.80000019073486"/>
    <s v="9.80000019073486"/>
    <n v="0"/>
    <s v="3.39000010490417"/>
    <s v="0.699999988079071"/>
    <s v="5.69000005722046"/>
    <n v="0"/>
    <n v="43"/>
    <n v="18"/>
    <n v="285"/>
    <n v="757"/>
    <n v="2030"/>
    <x v="0"/>
  </r>
  <r>
    <n v="1503960366"/>
    <d v="2016-04-05T00:00:00"/>
    <x v="11"/>
    <s v="9.72999954223633"/>
    <s v="9.72999954223633"/>
    <n v="0"/>
    <s v="2.94000005722046"/>
    <s v="0.759999990463257"/>
    <s v="6.03999996185303"/>
    <n v="0"/>
    <n v="36"/>
    <n v="18"/>
    <n v="341"/>
    <n v="736"/>
    <n v="2083"/>
    <x v="0"/>
  </r>
  <r>
    <n v="1503960366"/>
    <d v="2016-04-06T00:00:00"/>
    <x v="12"/>
    <s v="7.67000007629395"/>
    <s v="7.67000007629395"/>
    <n v="0"/>
    <s v="2.03999996185303"/>
    <s v="0.479999989271164"/>
    <s v="5.15000009536743"/>
    <n v="0"/>
    <n v="27"/>
    <n v="12"/>
    <n v="228"/>
    <n v="1173"/>
    <n v="1861"/>
    <x v="0"/>
  </r>
  <r>
    <n v="1503960366"/>
    <d v="2016-04-07T00:00:00"/>
    <x v="13"/>
    <s v="6.44000005722046"/>
    <s v="6.44000005722046"/>
    <n v="0"/>
    <s v="1.20000004768372"/>
    <s v="0.790000021457672"/>
    <s v="4.44999980926514"/>
    <n v="0"/>
    <n v="17"/>
    <n v="20"/>
    <n v="195"/>
    <n v="1208"/>
    <n v="1755"/>
    <x v="0"/>
  </r>
  <r>
    <n v="1503960366"/>
    <d v="2016-04-08T00:00:00"/>
    <x v="14"/>
    <s v="7.94000005722046"/>
    <s v="7.94000005722046"/>
    <n v="0"/>
    <s v="3.30999994277954"/>
    <s v="0.899999976158142"/>
    <s v="3.74000000953674"/>
    <n v="0"/>
    <n v="46"/>
    <n v="22"/>
    <n v="212"/>
    <n v="1160"/>
    <n v="1895"/>
    <x v="0"/>
  </r>
  <r>
    <n v="1503960366"/>
    <d v="2016-04-09T00:00:00"/>
    <x v="15"/>
    <s v="8.10000038146973"/>
    <s v="8.10000038146973"/>
    <n v="0"/>
    <s v="2.58999991416931"/>
    <s v="0.589999973773956"/>
    <s v="4.92000007629395"/>
    <n v="0"/>
    <n v="32"/>
    <n v="15"/>
    <n v="248"/>
    <n v="738"/>
    <n v="1883"/>
    <x v="1"/>
  </r>
  <r>
    <n v="1503960366"/>
    <d v="2016-04-10T00:00:00"/>
    <x v="16"/>
    <s v="6.98000001907349"/>
    <s v="6.98000001907349"/>
    <n v="0"/>
    <n v="4"/>
    <s v="0.490000009536743"/>
    <s v="2.48000001907349"/>
    <n v="0"/>
    <n v="44"/>
    <n v="13"/>
    <n v="168"/>
    <n v="737"/>
    <n v="1755"/>
    <x v="1"/>
  </r>
  <r>
    <n v="1503960366"/>
    <d v="2016-04-11T00:00:00"/>
    <x v="17"/>
    <s v="7.26000022888184"/>
    <s v="7.26000022888184"/>
    <n v="0"/>
    <s v="2.03999996185303"/>
    <s v="0.569999992847443"/>
    <s v="4.65000009536743"/>
    <n v="0"/>
    <n v="26"/>
    <n v="14"/>
    <n v="216"/>
    <n v="855"/>
    <n v="1811"/>
    <x v="0"/>
  </r>
  <r>
    <n v="1503960366"/>
    <d v="2016-04-12T00:00:00"/>
    <x v="18"/>
    <s v="0.140000000596046"/>
    <s v="0.140000000596046"/>
    <n v="0"/>
    <n v="0"/>
    <n v="0"/>
    <s v="0.129999995231628"/>
    <n v="0"/>
    <n v="0"/>
    <n v="0"/>
    <n v="9"/>
    <n v="32"/>
    <n v="50"/>
    <x v="0"/>
  </r>
  <r>
    <n v="1624580081"/>
    <d v="2016-03-25T00:00:00"/>
    <x v="19"/>
    <s v="1.17999994754791"/>
    <s v="1.17999994754791"/>
    <n v="0"/>
    <n v="0"/>
    <n v="0"/>
    <s v="1.12999999523163"/>
    <s v="0.00999999977648258"/>
    <n v="0"/>
    <n v="0"/>
    <n v="121"/>
    <n v="1319"/>
    <n v="1373"/>
    <x v="0"/>
  </r>
  <r>
    <n v="1624580081"/>
    <d v="2016-03-26T00:00:00"/>
    <x v="20"/>
    <s v="0.529999971389771"/>
    <s v="0.529999971389771"/>
    <n v="0"/>
    <n v="0"/>
    <n v="0"/>
    <s v="0.529999971389771"/>
    <n v="0"/>
    <n v="0"/>
    <n v="0"/>
    <n v="47"/>
    <n v="1393"/>
    <n v="1264"/>
    <x v="1"/>
  </r>
  <r>
    <n v="1624580081"/>
    <d v="2016-03-27T00:00:00"/>
    <x v="21"/>
    <s v="1.28999996185303"/>
    <s v="1.28999996185303"/>
    <n v="0"/>
    <n v="0"/>
    <n v="0"/>
    <s v="1.27999997138977"/>
    <s v="0.00999999977648258"/>
    <n v="0"/>
    <n v="0"/>
    <n v="112"/>
    <n v="1328"/>
    <n v="1350"/>
    <x v="1"/>
  </r>
  <r>
    <n v="1624580081"/>
    <d v="2016-03-28T00:00:00"/>
    <x v="22"/>
    <s v="1.24000000953674"/>
    <s v="1.24000000953674"/>
    <n v="0"/>
    <n v="0"/>
    <n v="0"/>
    <s v="1.24000000953674"/>
    <n v="0"/>
    <n v="0"/>
    <n v="0"/>
    <n v="95"/>
    <n v="1345"/>
    <n v="1342"/>
    <x v="0"/>
  </r>
  <r>
    <n v="1624580081"/>
    <d v="2016-03-29T00:00:00"/>
    <x v="23"/>
    <s v="1.00999999046326"/>
    <s v="1.00999999046326"/>
    <n v="0"/>
    <n v="0"/>
    <n v="0"/>
    <n v="1"/>
    <n v="0"/>
    <n v="0"/>
    <n v="0"/>
    <n v="66"/>
    <n v="1374"/>
    <n v="1300"/>
    <x v="0"/>
  </r>
  <r>
    <n v="1624580081"/>
    <d v="2016-03-30T00:00:00"/>
    <x v="24"/>
    <s v="1.0900000333786"/>
    <s v="1.0900000333786"/>
    <n v="0"/>
    <n v="0"/>
    <n v="0"/>
    <s v="1.0900000333786"/>
    <n v="0"/>
    <n v="0"/>
    <n v="0"/>
    <n v="84"/>
    <n v="1356"/>
    <n v="1313"/>
    <x v="0"/>
  </r>
  <r>
    <n v="1624580081"/>
    <d v="2016-03-31T00:00:00"/>
    <x v="25"/>
    <s v="2.9300000667572"/>
    <s v="2.9300000667572"/>
    <n v="0"/>
    <s v="0.509999990463257"/>
    <s v="0.270000010728836"/>
    <s v="2.15000009536743"/>
    <s v="0.00999999977648258"/>
    <n v="7"/>
    <n v="4"/>
    <n v="144"/>
    <n v="1285"/>
    <n v="1498"/>
    <x v="0"/>
  </r>
  <r>
    <n v="1624580081"/>
    <d v="2016-04-01T00:00:00"/>
    <x v="26"/>
    <s v="5.98999977111816"/>
    <s v="5.98999977111816"/>
    <n v="0"/>
    <n v="0"/>
    <n v="0"/>
    <s v="5.96999979019165"/>
    <s v="0.00999999977648258"/>
    <n v="0"/>
    <n v="0"/>
    <n v="221"/>
    <n v="1219"/>
    <n v="1541"/>
    <x v="0"/>
  </r>
  <r>
    <n v="1624580081"/>
    <d v="2016-04-02T00:00:00"/>
    <x v="27"/>
    <s v="1.00999999046326"/>
    <s v="1.00999999046326"/>
    <n v="0"/>
    <n v="0"/>
    <n v="0"/>
    <s v="1.00999999046326"/>
    <s v="0.00999999977648258"/>
    <n v="0"/>
    <n v="0"/>
    <n v="88"/>
    <n v="1352"/>
    <n v="1327"/>
    <x v="1"/>
  </r>
  <r>
    <n v="1624580081"/>
    <d v="2016-04-03T00:00:00"/>
    <x v="28"/>
    <s v="1.88999998569489"/>
    <s v="1.88999998569489"/>
    <n v="0"/>
    <n v="0"/>
    <n v="0"/>
    <s v="1.87999999523163"/>
    <s v="0.00999999977648258"/>
    <n v="0"/>
    <n v="0"/>
    <n v="157"/>
    <n v="1283"/>
    <n v="1452"/>
    <x v="1"/>
  </r>
  <r>
    <n v="1624580081"/>
    <d v="2016-04-04T00:00:00"/>
    <x v="29"/>
    <n v="12"/>
    <n v="12"/>
    <n v="0"/>
    <n v="0"/>
    <n v="0"/>
    <n v="12"/>
    <n v="0"/>
    <n v="0"/>
    <n v="0"/>
    <n v="270"/>
    <n v="1170"/>
    <n v="1574"/>
    <x v="0"/>
  </r>
  <r>
    <n v="1624580081"/>
    <d v="2016-04-05T00:00:00"/>
    <x v="30"/>
    <s v="0.870000004768372"/>
    <s v="0.870000004768372"/>
    <n v="0"/>
    <n v="0"/>
    <n v="0"/>
    <s v="0.870000004768372"/>
    <n v="0"/>
    <n v="0"/>
    <n v="0"/>
    <n v="74"/>
    <n v="1366"/>
    <n v="1308"/>
    <x v="0"/>
  </r>
  <r>
    <n v="1624580081"/>
    <d v="2016-04-06T00:00:00"/>
    <x v="31"/>
    <s v="0.649999976158142"/>
    <s v="0.649999976158142"/>
    <n v="0"/>
    <n v="0"/>
    <n v="0"/>
    <s v="0.649999976158142"/>
    <n v="0"/>
    <n v="0"/>
    <n v="0"/>
    <n v="55"/>
    <n v="1385"/>
    <n v="1276"/>
    <x v="0"/>
  </r>
  <r>
    <n v="1624580081"/>
    <d v="2016-04-07T00:00:00"/>
    <x v="32"/>
    <s v="0.720000028610229"/>
    <s v="0.720000028610229"/>
    <n v="0"/>
    <n v="0"/>
    <n v="0"/>
    <s v="0.720000028610229"/>
    <n v="0"/>
    <n v="0"/>
    <n v="0"/>
    <n v="54"/>
    <n v="1386"/>
    <n v="1278"/>
    <x v="0"/>
  </r>
  <r>
    <n v="1624580081"/>
    <d v="2016-04-08T00:00:00"/>
    <x v="33"/>
    <s v="4.11999988555908"/>
    <s v="4.11999988555908"/>
    <n v="0"/>
    <n v="0"/>
    <n v="0"/>
    <s v="4.09999990463257"/>
    <n v="0"/>
    <n v="0"/>
    <n v="0"/>
    <n v="143"/>
    <n v="1297"/>
    <n v="1409"/>
    <x v="0"/>
  </r>
  <r>
    <n v="1624580081"/>
    <d v="2016-04-09T00:00:00"/>
    <x v="34"/>
    <s v="2.3199999332428"/>
    <s v="2.3199999332428"/>
    <n v="0"/>
    <n v="0"/>
    <n v="0"/>
    <s v="2.28999996185303"/>
    <s v="0.0299999993294477"/>
    <n v="0"/>
    <n v="0"/>
    <n v="122"/>
    <n v="1318"/>
    <n v="1370"/>
    <x v="1"/>
  </r>
  <r>
    <n v="1624580081"/>
    <d v="2016-04-10T00:00:00"/>
    <x v="35"/>
    <s v="2.53999996185303"/>
    <s v="2.53999996185303"/>
    <n v="0"/>
    <s v="0.469999998807907"/>
    <s v="0.25"/>
    <s v="1.80999994277954"/>
    <s v="0.00999999977648258"/>
    <n v="7"/>
    <n v="7"/>
    <n v="186"/>
    <n v="1240"/>
    <n v="1555"/>
    <x v="1"/>
  </r>
  <r>
    <n v="1624580081"/>
    <d v="2016-04-11T00:00:00"/>
    <x v="36"/>
    <d v="2026-05-06T00:00:00"/>
    <d v="2026-05-06T00:00:00"/>
    <n v="0"/>
    <n v="0"/>
    <n v="0"/>
    <d v="2026-05-06T00:00:00"/>
    <n v="0"/>
    <n v="0"/>
    <n v="0"/>
    <n v="172"/>
    <n v="1268"/>
    <n v="1469"/>
    <x v="0"/>
  </r>
  <r>
    <n v="1624580081"/>
    <d v="2016-04-12T00:00:00"/>
    <x v="37"/>
    <s v="4.30999994277954"/>
    <s v="4.30999994277954"/>
    <n v="0"/>
    <n v="0"/>
    <n v="0"/>
    <s v="4.30999994277954"/>
    <n v="0"/>
    <n v="0"/>
    <n v="0"/>
    <n v="89"/>
    <n v="604"/>
    <n v="706"/>
    <x v="0"/>
  </r>
  <r>
    <n v="1644430081"/>
    <d v="2016-04-01T00:00:00"/>
    <x v="38"/>
    <s v="3.41000008583069"/>
    <s v="3.41000008583069"/>
    <n v="0"/>
    <n v="0"/>
    <s v="0.779999971389771"/>
    <s v="2.59999990463257"/>
    <s v="0.0299999993294477"/>
    <n v="0"/>
    <n v="16"/>
    <n v="586"/>
    <n v="838"/>
    <n v="3323"/>
    <x v="0"/>
  </r>
  <r>
    <n v="1644430081"/>
    <d v="2016-04-02T00:00:00"/>
    <x v="39"/>
    <s v="14.710000038147"/>
    <s v="14.710000038147"/>
    <n v="0"/>
    <s v="2.5699999332428"/>
    <s v="6.40000009536743"/>
    <s v="5.73000001907349"/>
    <s v="0.00999999977648258"/>
    <n v="34"/>
    <n v="141"/>
    <n v="347"/>
    <n v="918"/>
    <n v="4029"/>
    <x v="1"/>
  </r>
  <r>
    <n v="1644430081"/>
    <d v="2016-04-03T00:00:00"/>
    <x v="40"/>
    <s v="9.40999984741211"/>
    <s v="9.40999984741211"/>
    <n v="0"/>
    <s v="4.82999992370605"/>
    <s v="0.769999980926514"/>
    <s v="3.78999996185303"/>
    <s v="0.0299999993294477"/>
    <n v="59"/>
    <n v="16"/>
    <n v="283"/>
    <n v="1082"/>
    <n v="3436"/>
    <x v="1"/>
  </r>
  <r>
    <n v="1644430081"/>
    <d v="2016-04-04T00:00:00"/>
    <x v="41"/>
    <s v="2.04999995231628"/>
    <s v="2.04999995231628"/>
    <n v="0"/>
    <s v="0.310000002384186"/>
    <s v="0.170000001788139"/>
    <s v="1.55999994277954"/>
    <s v="0.00999999977648258"/>
    <n v="4"/>
    <n v="4"/>
    <n v="87"/>
    <n v="1345"/>
    <n v="2444"/>
    <x v="0"/>
  </r>
  <r>
    <n v="1644430081"/>
    <d v="2016-04-05T00:00:00"/>
    <x v="42"/>
    <s v="7.21000003814697"/>
    <s v="7.21000003814697"/>
    <n v="0"/>
    <s v="0.340000003576279"/>
    <s v="1.51999998092651"/>
    <s v="5.3600001335144"/>
    <n v="0"/>
    <n v="5"/>
    <n v="35"/>
    <n v="219"/>
    <n v="1181"/>
    <n v="3098"/>
    <x v="0"/>
  </r>
  <r>
    <n v="1644430081"/>
    <d v="2016-04-06T00:00:00"/>
    <x v="43"/>
    <s v="5.84999990463257"/>
    <s v="5.84999990463257"/>
    <n v="0"/>
    <s v="1.28999996185303"/>
    <s v="2.11999988555908"/>
    <s v="2.45000004768372"/>
    <n v="0"/>
    <n v="18"/>
    <n v="41"/>
    <n v="137"/>
    <n v="1244"/>
    <n v="2925"/>
    <x v="0"/>
  </r>
  <r>
    <n v="1644430081"/>
    <d v="2016-04-07T00:00:00"/>
    <x v="44"/>
    <s v="8.11999988555908"/>
    <s v="8.11999988555908"/>
    <n v="0"/>
    <s v="0.209999993443489"/>
    <s v="2.41000008583069"/>
    <d v="2026-05-05T00:00:00"/>
    <n v="0"/>
    <n v="3"/>
    <n v="58"/>
    <n v="230"/>
    <n v="1149"/>
    <n v="3202"/>
    <x v="0"/>
  </r>
  <r>
    <n v="1644430081"/>
    <d v="2016-04-08T00:00:00"/>
    <x v="45"/>
    <s v="5.69999980926514"/>
    <s v="5.69999980926514"/>
    <n v="0"/>
    <s v="0.479999989271164"/>
    <s v="2.41000008583069"/>
    <s v="2.80999994277954"/>
    <n v="0"/>
    <n v="7"/>
    <n v="43"/>
    <n v="161"/>
    <n v="1229"/>
    <n v="2928"/>
    <x v="0"/>
  </r>
  <r>
    <n v="1644430081"/>
    <d v="2016-04-09T00:00:00"/>
    <x v="46"/>
    <s v="10.0600004196167"/>
    <s v="10.0600004196167"/>
    <n v="0"/>
    <s v="1.30999994277954"/>
    <s v="3.72000002861023"/>
    <s v="5.03000020980835"/>
    <n v="0"/>
    <n v="18"/>
    <n v="81"/>
    <n v="192"/>
    <n v="1149"/>
    <n v="3290"/>
    <x v="1"/>
  </r>
  <r>
    <n v="1644430081"/>
    <d v="2016-04-10T00:00:00"/>
    <x v="47"/>
    <s v="0.970000028610229"/>
    <s v="0.970000028610229"/>
    <n v="0"/>
    <n v="0"/>
    <n v="0"/>
    <s v="0.970000028610229"/>
    <n v="0"/>
    <n v="0"/>
    <n v="0"/>
    <n v="35"/>
    <n v="207"/>
    <n v="489"/>
    <x v="1"/>
  </r>
  <r>
    <n v="1844505072"/>
    <d v="2016-04-01T00:00:00"/>
    <x v="48"/>
    <s v="4.53000020980835"/>
    <s v="4.53000020980835"/>
    <n v="0"/>
    <s v="0.610000014305115"/>
    <s v="0.370000004768372"/>
    <s v="3.54999995231628"/>
    <n v="0"/>
    <n v="9"/>
    <n v="9"/>
    <n v="251"/>
    <n v="1171"/>
    <n v="1969"/>
    <x v="0"/>
  </r>
  <r>
    <n v="1844505072"/>
    <d v="2016-04-02T00:00:00"/>
    <x v="49"/>
    <s v="3.54999995231628"/>
    <s v="3.54999995231628"/>
    <n v="0"/>
    <n v="0"/>
    <n v="0"/>
    <s v="3.54999995231628"/>
    <n v="0"/>
    <n v="0"/>
    <n v="0"/>
    <n v="263"/>
    <n v="1177"/>
    <n v="1889"/>
    <x v="1"/>
  </r>
  <r>
    <n v="1844505072"/>
    <d v="2016-04-03T00:00:00"/>
    <x v="50"/>
    <s v="1.87999999523163"/>
    <s v="1.87999999523163"/>
    <n v="0"/>
    <n v="0"/>
    <n v="0"/>
    <s v="1.87999999523163"/>
    <n v="0"/>
    <n v="0"/>
    <n v="0"/>
    <n v="136"/>
    <n v="1114"/>
    <n v="1636"/>
    <x v="1"/>
  </r>
  <r>
    <n v="1844505072"/>
    <d v="2016-04-04T00:00:00"/>
    <x v="51"/>
    <n v="0"/>
    <n v="0"/>
    <n v="0"/>
    <n v="0"/>
    <n v="0"/>
    <n v="0"/>
    <n v="0"/>
    <n v="0"/>
    <n v="0"/>
    <n v="0"/>
    <n v="669"/>
    <n v="1347"/>
    <x v="0"/>
  </r>
  <r>
    <n v="1844505072"/>
    <d v="2016-04-05T00:00:00"/>
    <x v="51"/>
    <n v="0"/>
    <n v="0"/>
    <n v="0"/>
    <n v="0"/>
    <n v="0"/>
    <n v="0"/>
    <n v="0"/>
    <n v="0"/>
    <n v="0"/>
    <n v="0"/>
    <n v="1440"/>
    <n v="1347"/>
    <x v="0"/>
  </r>
  <r>
    <n v="1844505072"/>
    <d v="2016-04-06T00:00:00"/>
    <x v="52"/>
    <n v="0"/>
    <n v="0"/>
    <n v="0"/>
    <n v="0"/>
    <n v="0"/>
    <n v="0"/>
    <n v="0"/>
    <n v="0"/>
    <n v="0"/>
    <n v="1"/>
    <n v="1439"/>
    <n v="1349"/>
    <x v="0"/>
  </r>
  <r>
    <n v="1844505072"/>
    <d v="2016-04-07T00:00:00"/>
    <x v="33"/>
    <s v="4.19000005722046"/>
    <s v="4.19000005722046"/>
    <n v="0"/>
    <n v="0"/>
    <n v="0"/>
    <s v="4.19000005722046"/>
    <n v="0"/>
    <n v="0"/>
    <n v="0"/>
    <n v="290"/>
    <n v="1150"/>
    <n v="1965"/>
    <x v="0"/>
  </r>
  <r>
    <n v="1844505072"/>
    <d v="2016-04-08T00:00:00"/>
    <x v="53"/>
    <s v="3.50999999046326"/>
    <s v="3.50999999046326"/>
    <n v="0"/>
    <n v="0"/>
    <n v="0"/>
    <s v="3.50999999046326"/>
    <n v="0"/>
    <n v="0"/>
    <n v="0"/>
    <n v="221"/>
    <n v="1219"/>
    <n v="1824"/>
    <x v="0"/>
  </r>
  <r>
    <n v="1844505072"/>
    <d v="2016-04-09T00:00:00"/>
    <x v="54"/>
    <s v="3.28999996185303"/>
    <s v="3.28999996185303"/>
    <n v="0"/>
    <n v="0"/>
    <n v="0"/>
    <s v="3.28999996185303"/>
    <n v="0"/>
    <n v="0"/>
    <n v="0"/>
    <n v="184"/>
    <n v="620"/>
    <n v="1807"/>
    <x v="1"/>
  </r>
  <r>
    <n v="1844505072"/>
    <d v="2016-04-10T00:00:00"/>
    <x v="55"/>
    <s v="4.34000015258789"/>
    <s v="4.34000015258789"/>
    <n v="0"/>
    <n v="0"/>
    <n v="0"/>
    <s v="4.32999992370605"/>
    <n v="0"/>
    <n v="0"/>
    <n v="0"/>
    <n v="305"/>
    <n v="810"/>
    <n v="1971"/>
    <x v="1"/>
  </r>
  <r>
    <n v="1844505072"/>
    <d v="2016-04-11T00:00:00"/>
    <x v="56"/>
    <s v="3.58999991416931"/>
    <s v="3.58999991416931"/>
    <n v="0"/>
    <n v="0"/>
    <n v="0"/>
    <s v="3.58999991416931"/>
    <n v="0"/>
    <n v="0"/>
    <n v="0"/>
    <n v="251"/>
    <n v="1189"/>
    <n v="1888"/>
    <x v="0"/>
  </r>
  <r>
    <n v="1844505072"/>
    <d v="2016-04-12T00:00:00"/>
    <x v="51"/>
    <n v="0"/>
    <n v="0"/>
    <n v="0"/>
    <n v="0"/>
    <n v="0"/>
    <n v="0"/>
    <n v="0"/>
    <n v="0"/>
    <n v="0"/>
    <n v="0"/>
    <n v="426"/>
    <n v="399"/>
    <x v="0"/>
  </r>
  <r>
    <n v="1927972279"/>
    <d v="2016-04-01T00:00:00"/>
    <x v="57"/>
    <s v="2.99000000953674"/>
    <s v="2.99000000953674"/>
    <n v="0"/>
    <n v="0"/>
    <s v="0.370000004768372"/>
    <s v="2.61999988555908"/>
    <n v="0"/>
    <n v="0"/>
    <n v="11"/>
    <n v="192"/>
    <n v="854"/>
    <n v="2590"/>
    <x v="0"/>
  </r>
  <r>
    <n v="1927972279"/>
    <d v="2016-04-02T00:00:00"/>
    <x v="58"/>
    <s v="3.92000007629395"/>
    <s v="3.92000007629395"/>
    <n v="0"/>
    <n v="0"/>
    <n v="0"/>
    <s v="3.92000007629395"/>
    <n v="0"/>
    <n v="0"/>
    <n v="0"/>
    <n v="267"/>
    <n v="858"/>
    <n v="2783"/>
    <x v="1"/>
  </r>
  <r>
    <n v="1927972279"/>
    <d v="2016-04-03T00:00:00"/>
    <x v="59"/>
    <s v="2.21000003814697"/>
    <s v="2.21000003814697"/>
    <n v="0"/>
    <n v="0"/>
    <n v="0"/>
    <s v="2.21000003814697"/>
    <n v="0"/>
    <n v="0"/>
    <n v="0"/>
    <n v="146"/>
    <n v="1183"/>
    <n v="2449"/>
    <x v="1"/>
  </r>
  <r>
    <n v="1927972279"/>
    <d v="2016-04-04T00:00:00"/>
    <x v="60"/>
    <s v="1.62999999523163"/>
    <s v="1.62999999523163"/>
    <n v="0"/>
    <n v="0"/>
    <n v="0"/>
    <s v="1.62999999523163"/>
    <n v="0"/>
    <n v="0"/>
    <n v="0"/>
    <n v="128"/>
    <n v="829"/>
    <n v="2380"/>
    <x v="0"/>
  </r>
  <r>
    <n v="1927972279"/>
    <d v="2016-04-05T00:00:00"/>
    <x v="61"/>
    <s v="1.54999995231628"/>
    <s v="1.54999995231628"/>
    <n v="0"/>
    <n v="0"/>
    <n v="0"/>
    <s v="1.54999995231628"/>
    <n v="0"/>
    <n v="0"/>
    <n v="0"/>
    <n v="108"/>
    <n v="912"/>
    <n v="2344"/>
    <x v="0"/>
  </r>
  <r>
    <n v="1927972279"/>
    <d v="2016-04-06T00:00:00"/>
    <x v="62"/>
    <s v="0.870000004768372"/>
    <s v="0.870000004768372"/>
    <n v="0"/>
    <n v="0"/>
    <n v="0"/>
    <s v="0.870000004768372"/>
    <n v="0"/>
    <n v="0"/>
    <n v="0"/>
    <n v="73"/>
    <n v="938"/>
    <n v="2202"/>
    <x v="0"/>
  </r>
  <r>
    <n v="1927972279"/>
    <d v="2016-04-07T00:00:00"/>
    <x v="63"/>
    <s v="0.529999971389771"/>
    <s v="0.529999971389771"/>
    <n v="0"/>
    <n v="0"/>
    <n v="0"/>
    <s v="0.529999971389771"/>
    <n v="0"/>
    <n v="0"/>
    <n v="0"/>
    <n v="43"/>
    <n v="1397"/>
    <n v="2130"/>
    <x v="0"/>
  </r>
  <r>
    <n v="1927972279"/>
    <d v="2016-04-08T00:00:00"/>
    <x v="64"/>
    <s v="0.360000014305115"/>
    <s v="0.360000014305115"/>
    <n v="0"/>
    <n v="0"/>
    <n v="0"/>
    <s v="0.360000014305115"/>
    <n v="0"/>
    <n v="0"/>
    <n v="0"/>
    <n v="34"/>
    <n v="1406"/>
    <n v="2088"/>
    <x v="0"/>
  </r>
  <r>
    <n v="1927972279"/>
    <d v="2016-04-09T00:00:00"/>
    <x v="65"/>
    <d v="1975-01-01T00:00:00"/>
    <d v="1975-01-01T00:00:00"/>
    <n v="0"/>
    <n v="0"/>
    <s v="0.370000004768372"/>
    <s v="1.37999999523163"/>
    <n v="0"/>
    <n v="0"/>
    <n v="9"/>
    <n v="134"/>
    <n v="1250"/>
    <n v="2443"/>
    <x v="1"/>
  </r>
  <r>
    <n v="1927972279"/>
    <d v="2016-04-10T00:00:00"/>
    <x v="66"/>
    <s v="1.46000003814697"/>
    <s v="1.46000003814697"/>
    <n v="0"/>
    <n v="0"/>
    <n v="0"/>
    <s v="1.46000003814697"/>
    <n v="0"/>
    <n v="0"/>
    <n v="0"/>
    <n v="139"/>
    <n v="805"/>
    <n v="2442"/>
    <x v="1"/>
  </r>
  <r>
    <n v="1927972279"/>
    <d v="2016-04-11T00:00:00"/>
    <x v="67"/>
    <s v="0.839999973773956"/>
    <s v="0.839999973773956"/>
    <n v="0"/>
    <n v="0"/>
    <n v="0"/>
    <s v="0.839999973773956"/>
    <n v="0"/>
    <n v="0"/>
    <n v="0"/>
    <n v="73"/>
    <n v="842"/>
    <n v="2255"/>
    <x v="0"/>
  </r>
  <r>
    <n v="1927972279"/>
    <d v="2016-04-12T00:00:00"/>
    <x v="68"/>
    <s v="0.0199999995529652"/>
    <s v="0.0199999995529652"/>
    <n v="0"/>
    <n v="0"/>
    <n v="0"/>
    <s v="0.0199999995529652"/>
    <n v="0"/>
    <n v="0"/>
    <n v="0"/>
    <n v="3"/>
    <n v="161"/>
    <n v="942"/>
    <x v="0"/>
  </r>
  <r>
    <n v="2022484408"/>
    <d v="2016-04-01T00:00:00"/>
    <x v="69"/>
    <s v="9.60000038146973"/>
    <s v="9.60000038146973"/>
    <n v="0"/>
    <s v="5.46000003814697"/>
    <s v="0.629999995231628"/>
    <s v="3.50999999046326"/>
    <n v="0"/>
    <n v="72"/>
    <n v="16"/>
    <n v="213"/>
    <n v="1139"/>
    <n v="2645"/>
    <x v="0"/>
  </r>
  <r>
    <n v="2022484408"/>
    <d v="2016-04-02T00:00:00"/>
    <x v="70"/>
    <s v="3.83999991416931"/>
    <s v="3.83999991416931"/>
    <n v="0"/>
    <n v="0"/>
    <n v="0"/>
    <s v="3.83999991416931"/>
    <n v="0"/>
    <n v="0"/>
    <n v="0"/>
    <n v="237"/>
    <n v="1203"/>
    <n v="2040"/>
    <x v="1"/>
  </r>
  <r>
    <n v="2022484408"/>
    <d v="2016-04-03T00:00:00"/>
    <x v="71"/>
    <s v="7.82000017166138"/>
    <s v="7.82000017166138"/>
    <n v="0"/>
    <s v="1.78999996185303"/>
    <s v="0.889999985694885"/>
    <s v="5.1399998664856"/>
    <n v="0"/>
    <n v="25"/>
    <n v="22"/>
    <n v="279"/>
    <n v="1114"/>
    <n v="2395"/>
    <x v="1"/>
  </r>
  <r>
    <n v="2022484408"/>
    <d v="2016-04-04T00:00:00"/>
    <x v="72"/>
    <n v="11"/>
    <n v="11"/>
    <n v="0"/>
    <s v="5.01999998092651"/>
    <s v="1.28999996185303"/>
    <s v="4.69000005722046"/>
    <n v="0"/>
    <n v="62"/>
    <n v="19"/>
    <n v="233"/>
    <n v="1126"/>
    <n v="2581"/>
    <x v="0"/>
  </r>
  <r>
    <n v="2022484408"/>
    <d v="2016-04-05T00:00:00"/>
    <x v="73"/>
    <s v="7.59000015258789"/>
    <s v="7.59000015258789"/>
    <n v="0"/>
    <s v="0.720000028610229"/>
    <s v="0.980000019073486"/>
    <s v="5.8899998664856"/>
    <n v="0"/>
    <n v="36"/>
    <n v="37"/>
    <n v="298"/>
    <n v="1069"/>
    <n v="2735"/>
    <x v="0"/>
  </r>
  <r>
    <n v="2022484408"/>
    <d v="2016-04-06T00:00:00"/>
    <x v="74"/>
    <s v="10.9300003051758"/>
    <s v="10.9300003051758"/>
    <n v="0"/>
    <s v="3.4300000667572"/>
    <d v="1975-01-01T00:00:00"/>
    <d v="1975-05-01T00:00:00"/>
    <n v="0"/>
    <n v="47"/>
    <n v="42"/>
    <n v="258"/>
    <n v="1093"/>
    <n v="2733"/>
    <x v="0"/>
  </r>
  <r>
    <n v="2022484408"/>
    <d v="2016-04-07T00:00:00"/>
    <x v="75"/>
    <s v="13.8299999237061"/>
    <s v="13.8299999237061"/>
    <n v="0"/>
    <s v="7.1100001335144"/>
    <s v="2.21000003814697"/>
    <s v="4.51000022888184"/>
    <n v="0"/>
    <n v="72"/>
    <n v="62"/>
    <n v="252"/>
    <n v="1054"/>
    <n v="3021"/>
    <x v="0"/>
  </r>
  <r>
    <n v="2022484408"/>
    <d v="2016-04-08T00:00:00"/>
    <x v="76"/>
    <s v="9.26000022888184"/>
    <s v="9.26000022888184"/>
    <n v="0"/>
    <s v="3.23000001907349"/>
    <s v="0.560000002384186"/>
    <s v="5.46999979019165"/>
    <n v="0"/>
    <n v="40"/>
    <n v="12"/>
    <n v="296"/>
    <n v="1092"/>
    <n v="2577"/>
    <x v="0"/>
  </r>
  <r>
    <n v="2022484408"/>
    <d v="2016-04-09T00:00:00"/>
    <x v="77"/>
    <s v="12.5900001525879"/>
    <s v="12.5900001525879"/>
    <n v="0"/>
    <d v="1975-05-01T00:00:00"/>
    <s v="0.469999998807907"/>
    <s v="6.36999988555908"/>
    <n v="0"/>
    <n v="44"/>
    <n v="16"/>
    <n v="302"/>
    <n v="1078"/>
    <n v="2811"/>
    <x v="1"/>
  </r>
  <r>
    <n v="2022484408"/>
    <d v="2016-04-10T00:00:00"/>
    <x v="78"/>
    <s v="7.01999998092651"/>
    <s v="7.01999998092651"/>
    <n v="0"/>
    <s v="0.0799999982118607"/>
    <s v="1.04999995231628"/>
    <s v="5.90000009536743"/>
    <n v="0"/>
    <n v="1"/>
    <n v="23"/>
    <n v="339"/>
    <n v="1077"/>
    <n v="2458"/>
    <x v="1"/>
  </r>
  <r>
    <n v="2022484408"/>
    <d v="2016-04-11T00:00:00"/>
    <x v="79"/>
    <s v="7.09000015258789"/>
    <s v="7.09000015258789"/>
    <n v="0"/>
    <s v="1.21000003814697"/>
    <s v="0.560000002384186"/>
    <s v="5.32999992370605"/>
    <n v="0"/>
    <n v="41"/>
    <n v="16"/>
    <n v="272"/>
    <n v="1111"/>
    <n v="2568"/>
    <x v="0"/>
  </r>
  <r>
    <n v="2022484408"/>
    <d v="2016-04-12T00:00:00"/>
    <x v="80"/>
    <s v="4.71999979019165"/>
    <s v="4.71999979019165"/>
    <n v="0"/>
    <s v="3.23000001907349"/>
    <s v="0.219999998807907"/>
    <s v="1.26999998092651"/>
    <n v="0"/>
    <n v="41"/>
    <n v="5"/>
    <n v="67"/>
    <n v="551"/>
    <n v="1140"/>
    <x v="0"/>
  </r>
  <r>
    <n v="2026352035"/>
    <d v="2016-04-01T00:00:00"/>
    <x v="81"/>
    <s v="1.62000000476837"/>
    <s v="1.62000000476837"/>
    <n v="0"/>
    <n v="0"/>
    <n v="0"/>
    <s v="1.62000000476837"/>
    <n v="0"/>
    <n v="0"/>
    <n v="0"/>
    <n v="166"/>
    <n v="729"/>
    <n v="1407"/>
    <x v="0"/>
  </r>
  <r>
    <n v="2026352035"/>
    <d v="2016-04-02T00:00:00"/>
    <x v="82"/>
    <s v="0.759999990463257"/>
    <s v="0.759999990463257"/>
    <n v="0"/>
    <n v="0"/>
    <n v="0"/>
    <s v="0.759999990463257"/>
    <n v="0"/>
    <n v="0"/>
    <n v="0"/>
    <n v="69"/>
    <n v="795"/>
    <n v="1237"/>
    <x v="1"/>
  </r>
  <r>
    <n v="2026352035"/>
    <d v="2016-04-03T00:00:00"/>
    <x v="83"/>
    <s v="1.42999994754791"/>
    <s v="1.42999994754791"/>
    <n v="0"/>
    <n v="0"/>
    <n v="0"/>
    <s v="1.42999994754791"/>
    <n v="0"/>
    <n v="0"/>
    <n v="0"/>
    <n v="115"/>
    <n v="720"/>
    <n v="1330"/>
    <x v="1"/>
  </r>
  <r>
    <n v="2026352035"/>
    <d v="2016-04-04T00:00:00"/>
    <x v="84"/>
    <s v="4.1399998664856"/>
    <s v="4.1399998664856"/>
    <n v="0"/>
    <n v="0"/>
    <n v="0"/>
    <s v="4.1399998664856"/>
    <n v="0"/>
    <n v="0"/>
    <n v="0"/>
    <n v="263"/>
    <n v="644"/>
    <n v="1583"/>
    <x v="0"/>
  </r>
  <r>
    <n v="2026352035"/>
    <d v="2016-04-05T00:00:00"/>
    <x v="85"/>
    <d v="2026-05-03T00:00:00"/>
    <d v="2026-05-03T00:00:00"/>
    <n v="0"/>
    <n v="0"/>
    <n v="0"/>
    <d v="2026-05-03T00:00:00"/>
    <n v="0"/>
    <n v="0"/>
    <n v="0"/>
    <n v="248"/>
    <n v="621"/>
    <n v="1538"/>
    <x v="0"/>
  </r>
  <r>
    <n v="2026352035"/>
    <d v="2016-04-06T00:00:00"/>
    <x v="86"/>
    <s v="1.97000002861023"/>
    <s v="1.97000002861023"/>
    <n v="0"/>
    <n v="0"/>
    <n v="0"/>
    <s v="1.97000002861023"/>
    <n v="0"/>
    <n v="0"/>
    <n v="0"/>
    <n v="185"/>
    <n v="738"/>
    <n v="1421"/>
    <x v="0"/>
  </r>
  <r>
    <n v="2026352035"/>
    <d v="2016-04-07T00:00:00"/>
    <x v="87"/>
    <s v="1.72000002861023"/>
    <s v="1.72000002861023"/>
    <n v="0"/>
    <n v="0"/>
    <n v="0"/>
    <s v="1.72000002861023"/>
    <n v="0"/>
    <n v="0"/>
    <n v="0"/>
    <n v="170"/>
    <n v="673"/>
    <n v="1392"/>
    <x v="0"/>
  </r>
  <r>
    <n v="2026352035"/>
    <d v="2016-04-08T00:00:00"/>
    <x v="88"/>
    <s v="2.32999992370605"/>
    <s v="2.32999992370605"/>
    <n v="0"/>
    <n v="0"/>
    <n v="0"/>
    <s v="2.32999992370605"/>
    <n v="0"/>
    <n v="0"/>
    <n v="0"/>
    <n v="173"/>
    <n v="719"/>
    <n v="1425"/>
    <x v="0"/>
  </r>
  <r>
    <n v="2026352035"/>
    <d v="2016-04-09T00:00:00"/>
    <x v="89"/>
    <s v="1.91999995708466"/>
    <s v="1.91999995708466"/>
    <n v="0"/>
    <n v="0"/>
    <n v="0"/>
    <s v="1.91999995708466"/>
    <n v="0"/>
    <n v="0"/>
    <n v="0"/>
    <n v="185"/>
    <n v="700"/>
    <n v="1413"/>
    <x v="1"/>
  </r>
  <r>
    <n v="2026352035"/>
    <d v="2016-04-10T00:00:00"/>
    <x v="90"/>
    <s v="3.19000005722046"/>
    <s v="3.19000005722046"/>
    <n v="0"/>
    <n v="0"/>
    <n v="0"/>
    <s v="3.19000005722046"/>
    <n v="0"/>
    <n v="0"/>
    <n v="0"/>
    <n v="230"/>
    <n v="654"/>
    <n v="1515"/>
    <x v="1"/>
  </r>
  <r>
    <n v="2026352035"/>
    <d v="2016-04-11T00:00:00"/>
    <x v="91"/>
    <s v="2.02999997138977"/>
    <s v="2.02999997138977"/>
    <n v="0"/>
    <n v="0"/>
    <n v="0"/>
    <s v="2.02999997138977"/>
    <n v="0"/>
    <n v="0"/>
    <n v="0"/>
    <n v="164"/>
    <n v="694"/>
    <n v="1405"/>
    <x v="0"/>
  </r>
  <r>
    <n v="2026352035"/>
    <d v="2016-04-12T00:00:00"/>
    <x v="92"/>
    <s v="0.629999995231628"/>
    <s v="0.629999995231628"/>
    <n v="0"/>
    <n v="0"/>
    <n v="0"/>
    <s v="0.629999995231628"/>
    <n v="0"/>
    <n v="0"/>
    <n v="0"/>
    <n v="64"/>
    <n v="223"/>
    <n v="600"/>
    <x v="0"/>
  </r>
  <r>
    <n v="2320127002"/>
    <d v="2016-04-01T00:00:00"/>
    <x v="51"/>
    <n v="0"/>
    <n v="0"/>
    <n v="0"/>
    <n v="0"/>
    <n v="0"/>
    <n v="0"/>
    <n v="0"/>
    <n v="0"/>
    <n v="0"/>
    <n v="0"/>
    <n v="1440"/>
    <n v="1324"/>
    <x v="0"/>
  </r>
  <r>
    <n v="2320127002"/>
    <d v="2016-04-02T00:00:00"/>
    <x v="51"/>
    <n v="0"/>
    <n v="0"/>
    <n v="0"/>
    <n v="0"/>
    <n v="0"/>
    <n v="0"/>
    <n v="0"/>
    <n v="0"/>
    <n v="0"/>
    <n v="0"/>
    <n v="1440"/>
    <n v="1324"/>
    <x v="1"/>
  </r>
  <r>
    <n v="2320127002"/>
    <d v="2016-04-03T00:00:00"/>
    <x v="51"/>
    <n v="0"/>
    <n v="0"/>
    <n v="0"/>
    <n v="0"/>
    <n v="0"/>
    <n v="0"/>
    <n v="0"/>
    <n v="0"/>
    <n v="0"/>
    <n v="0"/>
    <n v="1440"/>
    <n v="1324"/>
    <x v="1"/>
  </r>
  <r>
    <n v="2320127002"/>
    <d v="2016-04-04T00:00:00"/>
    <x v="51"/>
    <n v="0"/>
    <n v="0"/>
    <n v="0"/>
    <n v="0"/>
    <n v="0"/>
    <n v="0"/>
    <n v="0"/>
    <n v="0"/>
    <n v="0"/>
    <n v="0"/>
    <n v="1440"/>
    <n v="1324"/>
    <x v="0"/>
  </r>
  <r>
    <n v="2320127002"/>
    <d v="2016-04-05T00:00:00"/>
    <x v="93"/>
    <s v="3.3199999332428"/>
    <s v="3.3199999332428"/>
    <n v="0"/>
    <n v="0"/>
    <n v="0"/>
    <s v="3.3199999332428"/>
    <n v="0"/>
    <n v="0"/>
    <n v="0"/>
    <n v="175"/>
    <n v="1265"/>
    <n v="1708"/>
    <x v="0"/>
  </r>
  <r>
    <n v="2320127002"/>
    <d v="2016-04-06T00:00:00"/>
    <x v="94"/>
    <s v="4.71999979019165"/>
    <s v="4.71999979019165"/>
    <n v="0"/>
    <n v="0"/>
    <n v="0"/>
    <s v="4.71999979019165"/>
    <n v="0"/>
    <n v="0"/>
    <n v="0"/>
    <n v="320"/>
    <n v="1120"/>
    <n v="1950"/>
    <x v="0"/>
  </r>
  <r>
    <n v="2320127002"/>
    <d v="2016-04-07T00:00:00"/>
    <x v="95"/>
    <s v="1.24000000953674"/>
    <s v="1.24000000953674"/>
    <n v="0"/>
    <n v="0"/>
    <n v="0"/>
    <s v="1.24000000953674"/>
    <n v="0"/>
    <n v="0"/>
    <n v="0"/>
    <n v="93"/>
    <n v="1347"/>
    <n v="1508"/>
    <x v="0"/>
  </r>
  <r>
    <n v="2320127002"/>
    <d v="2016-04-08T00:00:00"/>
    <x v="96"/>
    <s v="2.29999995231628"/>
    <s v="2.29999995231628"/>
    <n v="0"/>
    <n v="0"/>
    <n v="0"/>
    <s v="2.29999995231628"/>
    <n v="0"/>
    <n v="0"/>
    <n v="0"/>
    <n v="153"/>
    <n v="1287"/>
    <n v="1625"/>
    <x v="0"/>
  </r>
  <r>
    <n v="2320127002"/>
    <d v="2016-04-09T00:00:00"/>
    <x v="97"/>
    <s v="3.27999997138977"/>
    <s v="3.27999997138977"/>
    <n v="0"/>
    <s v="0.0599999986588955"/>
    <s v="0.419999986886978"/>
    <s v="2.79999995231628"/>
    <n v="0"/>
    <n v="1"/>
    <n v="11"/>
    <n v="208"/>
    <n v="1220"/>
    <n v="1772"/>
    <x v="1"/>
  </r>
  <r>
    <n v="2320127002"/>
    <d v="2016-04-10T00:00:00"/>
    <x v="98"/>
    <s v="1.52999997138977"/>
    <s v="1.52999997138977"/>
    <n v="0"/>
    <n v="0"/>
    <n v="0"/>
    <s v="1.52999997138977"/>
    <n v="0"/>
    <n v="0"/>
    <n v="0"/>
    <n v="103"/>
    <n v="1337"/>
    <n v="1530"/>
    <x v="1"/>
  </r>
  <r>
    <n v="2320127002"/>
    <d v="2016-04-11T00:00:00"/>
    <x v="99"/>
    <s v="7.67000007629395"/>
    <s v="7.67000007629395"/>
    <n v="0"/>
    <s v="0.889999985694885"/>
    <s v="0.119999997317791"/>
    <s v="6.65999984741211"/>
    <n v="0"/>
    <n v="10"/>
    <n v="2"/>
    <n v="390"/>
    <n v="1038"/>
    <n v="2206"/>
    <x v="0"/>
  </r>
  <r>
    <n v="2320127002"/>
    <d v="2016-04-12T00:00:00"/>
    <x v="100"/>
    <s v="1.4099999666214"/>
    <s v="1.4099999666214"/>
    <n v="0"/>
    <n v="0"/>
    <n v="0"/>
    <s v="1.4099999666214"/>
    <n v="0"/>
    <n v="0"/>
    <n v="0"/>
    <n v="69"/>
    <n v="617"/>
    <n v="790"/>
    <x v="0"/>
  </r>
  <r>
    <n v="2347167796"/>
    <d v="2016-03-29T00:00:00"/>
    <x v="101"/>
    <s v="6.78999996185303"/>
    <s v="6.78999996185303"/>
    <n v="0"/>
    <s v="0.159999996423721"/>
    <s v="3.11999988555908"/>
    <d v="2026-05-03T00:00:00"/>
    <n v="0"/>
    <n v="2"/>
    <n v="58"/>
    <n v="208"/>
    <n v="700"/>
    <n v="2041"/>
    <x v="0"/>
  </r>
  <r>
    <n v="2347167796"/>
    <d v="2016-03-30T00:00:00"/>
    <x v="102"/>
    <s v="7.09999990463257"/>
    <s v="7.09999990463257"/>
    <n v="0"/>
    <s v="1.76999998092651"/>
    <s v="2.05999994277954"/>
    <s v="3.26999998092651"/>
    <n v="0"/>
    <n v="21"/>
    <n v="35"/>
    <n v="255"/>
    <n v="615"/>
    <n v="2187"/>
    <x v="0"/>
  </r>
  <r>
    <n v="2347167796"/>
    <d v="2016-03-31T00:00:00"/>
    <x v="103"/>
    <s v="4.46999979019165"/>
    <s v="4.46999979019165"/>
    <n v="0"/>
    <n v="0"/>
    <n v="0"/>
    <s v="4.46999979019165"/>
    <n v="0"/>
    <n v="0"/>
    <n v="0"/>
    <n v="250"/>
    <n v="613"/>
    <n v="1929"/>
    <x v="0"/>
  </r>
  <r>
    <n v="2347167796"/>
    <d v="2016-04-01T00:00:00"/>
    <x v="104"/>
    <s v="5.51000022888184"/>
    <s v="5.51000022888184"/>
    <n v="0"/>
    <n v="0"/>
    <n v="2"/>
    <d v="2026-05-03T00:00:00"/>
    <n v="0"/>
    <n v="0"/>
    <n v="33"/>
    <n v="212"/>
    <n v="804"/>
    <n v="1935"/>
    <x v="0"/>
  </r>
  <r>
    <n v="2347167796"/>
    <d v="2016-04-02T00:00:00"/>
    <x v="105"/>
    <s v="10.2200002670288"/>
    <s v="10.2200002670288"/>
    <n v="0"/>
    <s v="3.58999991416931"/>
    <s v="0.810000002384186"/>
    <s v="5.82000017166138"/>
    <n v="0"/>
    <n v="51"/>
    <n v="16"/>
    <n v="327"/>
    <n v="583"/>
    <n v="2438"/>
    <x v="1"/>
  </r>
  <r>
    <n v="2347167796"/>
    <d v="2016-04-03T00:00:00"/>
    <x v="106"/>
    <s v="4.94999980926514"/>
    <s v="4.94999980926514"/>
    <n v="0"/>
    <n v="0"/>
    <n v="0"/>
    <s v="4.94999980926514"/>
    <n v="0"/>
    <n v="0"/>
    <n v="0"/>
    <n v="324"/>
    <n v="491"/>
    <n v="2035"/>
    <x v="1"/>
  </r>
  <r>
    <n v="2347167796"/>
    <d v="2016-04-04T00:00:00"/>
    <x v="107"/>
    <s v="6.80000019073486"/>
    <s v="6.80000019073486"/>
    <n v="0"/>
    <s v="1.41999995708466"/>
    <s v="1.23000001907349"/>
    <s v="4.15999984741211"/>
    <n v="0"/>
    <n v="21"/>
    <n v="25"/>
    <n v="231"/>
    <n v="638"/>
    <n v="2099"/>
    <x v="0"/>
  </r>
  <r>
    <n v="2347167796"/>
    <d v="2016-04-05T00:00:00"/>
    <x v="108"/>
    <s v="6.82000017166138"/>
    <s v="6.82000017166138"/>
    <n v="0"/>
    <s v="1.63999998569489"/>
    <s v="0.479999989271164"/>
    <s v="4.67999982833862"/>
    <n v="0"/>
    <n v="18"/>
    <n v="9"/>
    <n v="269"/>
    <n v="696"/>
    <n v="2096"/>
    <x v="0"/>
  </r>
  <r>
    <n v="2347167796"/>
    <d v="2016-04-06T00:00:00"/>
    <x v="109"/>
    <s v="7.34000015258789"/>
    <s v="7.34000015258789"/>
    <n v="0"/>
    <s v="0.899999976158142"/>
    <s v="2.75999999046326"/>
    <s v="3.6800000667572"/>
    <n v="0"/>
    <n v="14"/>
    <n v="46"/>
    <n v="196"/>
    <n v="759"/>
    <n v="2058"/>
    <x v="0"/>
  </r>
  <r>
    <n v="2347167796"/>
    <d v="2016-04-07T00:00:00"/>
    <x v="110"/>
    <s v="6.84999990463257"/>
    <s v="6.84999990463257"/>
    <n v="0"/>
    <s v="0.680000007152557"/>
    <s v="1.23000001907349"/>
    <s v="4.94000005722046"/>
    <n v="0"/>
    <n v="15"/>
    <n v="32"/>
    <n v="315"/>
    <n v="1002"/>
    <n v="2338"/>
    <x v="0"/>
  </r>
  <r>
    <n v="2347167796"/>
    <d v="2016-04-08T00:00:00"/>
    <x v="111"/>
    <d v="1975-06-01T00:00:00"/>
    <d v="1975-06-01T00:00:00"/>
    <n v="0"/>
    <s v="0.159999996423721"/>
    <s v="0.349999994039536"/>
    <s v="6.23000001907349"/>
    <n v="0"/>
    <n v="2"/>
    <n v="6"/>
    <n v="316"/>
    <n v="711"/>
    <n v="2104"/>
    <x v="0"/>
  </r>
  <r>
    <n v="2347167796"/>
    <d v="2016-04-09T00:00:00"/>
    <x v="112"/>
    <s v="10.6300001144409"/>
    <s v="10.6300001144409"/>
    <n v="0"/>
    <d v="2025-01-01T00:00:00"/>
    <s v="1.82000005245209"/>
    <s v="7.55999994277954"/>
    <n v="0"/>
    <n v="16"/>
    <n v="32"/>
    <n v="401"/>
    <n v="970"/>
    <n v="2488"/>
    <x v="1"/>
  </r>
  <r>
    <n v="2347167796"/>
    <d v="2016-04-10T00:00:00"/>
    <x v="113"/>
    <s v="6.82999992370605"/>
    <s v="6.82999992370605"/>
    <n v="0"/>
    <s v="1.01999998092651"/>
    <s v="0.119999997317791"/>
    <s v="5.69000005722046"/>
    <n v="0"/>
    <n v="12"/>
    <n v="3"/>
    <n v="303"/>
    <n v="463"/>
    <n v="2164"/>
    <x v="1"/>
  </r>
  <r>
    <n v="2347167796"/>
    <d v="2016-04-11T00:00:00"/>
    <x v="114"/>
    <s v="6.6100001335144"/>
    <s v="6.6100001335144"/>
    <n v="0"/>
    <s v="0.330000013113022"/>
    <s v="2.9300000667572"/>
    <s v="3.35999989509583"/>
    <n v="0"/>
    <n v="5"/>
    <n v="52"/>
    <n v="196"/>
    <n v="788"/>
    <n v="2009"/>
    <x v="0"/>
  </r>
  <r>
    <n v="2347167796"/>
    <d v="2016-04-12T00:00:00"/>
    <x v="51"/>
    <n v="0"/>
    <n v="0"/>
    <n v="0"/>
    <n v="0"/>
    <n v="0"/>
    <n v="0"/>
    <n v="0"/>
    <n v="0"/>
    <n v="0"/>
    <n v="0"/>
    <n v="425"/>
    <n v="399"/>
    <x v="0"/>
  </r>
  <r>
    <n v="2873212765"/>
    <d v="2016-04-01T00:00:00"/>
    <x v="115"/>
    <s v="0.600000023841858"/>
    <s v="0.600000023841858"/>
    <n v="0"/>
    <n v="0"/>
    <n v="0"/>
    <s v="0.600000023841858"/>
    <n v="0"/>
    <n v="0"/>
    <n v="0"/>
    <n v="41"/>
    <n v="1399"/>
    <n v="1335"/>
    <x v="0"/>
  </r>
  <r>
    <n v="2873212765"/>
    <d v="2016-04-02T00:00:00"/>
    <x v="116"/>
    <s v="1.49000000953674"/>
    <s v="1.49000000953674"/>
    <n v="0"/>
    <n v="0"/>
    <n v="0"/>
    <s v="1.49000000953674"/>
    <n v="0"/>
    <n v="0"/>
    <n v="0"/>
    <n v="197"/>
    <n v="1243"/>
    <n v="1559"/>
    <x v="1"/>
  </r>
  <r>
    <n v="2873212765"/>
    <d v="2016-04-03T00:00:00"/>
    <x v="117"/>
    <s v="5.13000011444092"/>
    <s v="5.13000011444092"/>
    <n v="0"/>
    <s v="0.189999997615814"/>
    <s v="0.800000011920929"/>
    <s v="4.15000009536743"/>
    <n v="0"/>
    <n v="3"/>
    <n v="15"/>
    <n v="315"/>
    <n v="1107"/>
    <n v="1845"/>
    <x v="1"/>
  </r>
  <r>
    <n v="2873212765"/>
    <d v="2016-04-04T00:00:00"/>
    <x v="118"/>
    <s v="6.53000020980835"/>
    <s v="6.53000020980835"/>
    <n v="0"/>
    <s v="0.340000003576279"/>
    <s v="0.889999985694885"/>
    <s v="5.28999996185303"/>
    <n v="0"/>
    <n v="6"/>
    <n v="24"/>
    <n v="355"/>
    <n v="1055"/>
    <n v="2046"/>
    <x v="0"/>
  </r>
  <r>
    <n v="2873212765"/>
    <d v="2016-04-05T00:00:00"/>
    <x v="119"/>
    <s v="5.67000007629395"/>
    <s v="5.67000007629395"/>
    <n v="0"/>
    <n v="0"/>
    <n v="0"/>
    <s v="5.65000009536743"/>
    <s v="0.00999999977648258"/>
    <n v="0"/>
    <n v="0"/>
    <n v="374"/>
    <n v="1066"/>
    <n v="1953"/>
    <x v="0"/>
  </r>
  <r>
    <n v="2873212765"/>
    <d v="2016-04-06T00:00:00"/>
    <x v="120"/>
    <s v="4.94000005722046"/>
    <s v="4.94000005722046"/>
    <n v="0"/>
    <n v="0"/>
    <n v="0"/>
    <s v="4.94000005722046"/>
    <n v="0"/>
    <n v="0"/>
    <n v="0"/>
    <n v="382"/>
    <n v="1058"/>
    <n v="1910"/>
    <x v="0"/>
  </r>
  <r>
    <n v="2873212765"/>
    <d v="2016-04-07T00:00:00"/>
    <x v="121"/>
    <s v="6.30999994277954"/>
    <s v="6.30999994277954"/>
    <n v="0"/>
    <s v="0.370000004768372"/>
    <s v="0.689999997615814"/>
    <s v="5.23999977111816"/>
    <n v="0"/>
    <n v="5"/>
    <n v="17"/>
    <n v="363"/>
    <n v="1055"/>
    <n v="2035"/>
    <x v="0"/>
  </r>
  <r>
    <n v="2873212765"/>
    <d v="2016-04-08T00:00:00"/>
    <x v="122"/>
    <s v="4.80999994277954"/>
    <s v="4.80999994277954"/>
    <n v="0"/>
    <n v="0"/>
    <n v="0"/>
    <s v="4.80999994277954"/>
    <n v="0"/>
    <n v="0"/>
    <n v="0"/>
    <n v="380"/>
    <n v="1060"/>
    <n v="1944"/>
    <x v="0"/>
  </r>
  <r>
    <n v="2873212765"/>
    <d v="2016-04-09T00:00:00"/>
    <x v="123"/>
    <s v="9.5600004196167"/>
    <s v="9.5600004196167"/>
    <n v="0"/>
    <s v="3.01999998092651"/>
    <s v="0.409999996423721"/>
    <s v="6.1399998664856"/>
    <s v="0.00999999977648258"/>
    <n v="46"/>
    <n v="8"/>
    <n v="288"/>
    <n v="1098"/>
    <n v="2257"/>
    <x v="1"/>
  </r>
  <r>
    <n v="2873212765"/>
    <d v="2016-04-10T00:00:00"/>
    <x v="124"/>
    <s v="3.54999995231628"/>
    <s v="3.54999995231628"/>
    <n v="0"/>
    <s v="0.0399999991059303"/>
    <s v="0.340000003576279"/>
    <s v="3.17000007629395"/>
    <n v="0"/>
    <n v="1"/>
    <n v="8"/>
    <n v="251"/>
    <n v="1180"/>
    <n v="1724"/>
    <x v="1"/>
  </r>
  <r>
    <n v="2873212765"/>
    <d v="2016-04-11T00:00:00"/>
    <x v="125"/>
    <s v="5.03999996185303"/>
    <s v="5.03999996185303"/>
    <n v="0"/>
    <n v="0"/>
    <n v="0"/>
    <s v="5.03999996185303"/>
    <n v="0"/>
    <n v="0"/>
    <n v="0"/>
    <n v="357"/>
    <n v="882"/>
    <n v="1741"/>
    <x v="0"/>
  </r>
  <r>
    <n v="2873212765"/>
    <d v="2016-04-12T00:00:00"/>
    <x v="51"/>
    <n v="0"/>
    <n v="0"/>
    <n v="0"/>
    <n v="0"/>
    <n v="0"/>
    <n v="0"/>
    <n v="0"/>
    <n v="0"/>
    <n v="0"/>
    <n v="0"/>
    <n v="1440"/>
    <n v="0"/>
    <x v="0"/>
  </r>
  <r>
    <n v="2891001357"/>
    <d v="2016-03-29T00:00:00"/>
    <x v="51"/>
    <n v="0"/>
    <n v="0"/>
    <n v="0"/>
    <n v="0"/>
    <n v="0"/>
    <n v="0"/>
    <n v="0"/>
    <n v="0"/>
    <n v="0"/>
    <n v="0"/>
    <n v="1440"/>
    <n v="1920"/>
    <x v="0"/>
  </r>
  <r>
    <n v="2891001357"/>
    <d v="2016-03-30T00:00:00"/>
    <x v="51"/>
    <n v="0"/>
    <n v="0"/>
    <n v="0"/>
    <n v="0"/>
    <n v="0"/>
    <n v="0"/>
    <n v="0"/>
    <n v="0"/>
    <n v="0"/>
    <n v="0"/>
    <n v="1440"/>
    <n v="1920"/>
    <x v="0"/>
  </r>
  <r>
    <n v="2891001357"/>
    <d v="2016-03-31T00:00:00"/>
    <x v="51"/>
    <n v="0"/>
    <n v="0"/>
    <n v="0"/>
    <n v="0"/>
    <n v="0"/>
    <n v="0"/>
    <n v="0"/>
    <n v="0"/>
    <n v="0"/>
    <n v="0"/>
    <n v="1440"/>
    <n v="1920"/>
    <x v="0"/>
  </r>
  <r>
    <n v="2891001357"/>
    <d v="2016-04-01T00:00:00"/>
    <x v="51"/>
    <n v="0"/>
    <n v="0"/>
    <s v="4.82803201675415"/>
    <n v="0"/>
    <n v="0"/>
    <n v="0"/>
    <n v="0"/>
    <n v="0"/>
    <n v="660"/>
    <n v="0"/>
    <n v="780"/>
    <n v="4562"/>
    <x v="0"/>
  </r>
  <r>
    <n v="2891001357"/>
    <d v="2016-04-02T00:00:00"/>
    <x v="126"/>
    <s v="3.22000002861023"/>
    <n v="0"/>
    <s v="3.21868801116943"/>
    <n v="0"/>
    <n v="0"/>
    <s v="3.22000002861023"/>
    <n v="0"/>
    <n v="0"/>
    <n v="0"/>
    <n v="720"/>
    <n v="720"/>
    <n v="2881"/>
    <x v="1"/>
  </r>
  <r>
    <n v="2891001357"/>
    <d v="2016-04-03T00:00:00"/>
    <x v="51"/>
    <n v="0"/>
    <n v="0"/>
    <n v="0"/>
    <n v="0"/>
    <n v="0"/>
    <n v="0"/>
    <n v="0"/>
    <n v="0"/>
    <n v="0"/>
    <n v="0"/>
    <n v="1440"/>
    <n v="1920"/>
    <x v="1"/>
  </r>
  <r>
    <n v="2891001357"/>
    <d v="2016-04-04T00:00:00"/>
    <x v="51"/>
    <n v="0"/>
    <n v="0"/>
    <n v="0"/>
    <n v="0"/>
    <n v="0"/>
    <n v="0"/>
    <n v="0"/>
    <n v="0"/>
    <n v="0"/>
    <n v="0"/>
    <n v="1440"/>
    <n v="1920"/>
    <x v="0"/>
  </r>
  <r>
    <n v="2891001357"/>
    <d v="2016-04-05T00:00:00"/>
    <x v="127"/>
    <s v="1.61000001430511"/>
    <n v="0"/>
    <s v="1.60934400558472"/>
    <n v="0"/>
    <n v="0"/>
    <s v="1.61000001430511"/>
    <n v="0"/>
    <n v="0"/>
    <n v="0"/>
    <n v="630"/>
    <n v="99"/>
    <n v="1144"/>
    <x v="0"/>
  </r>
  <r>
    <n v="3372868164"/>
    <d v="2016-04-01T00:00:00"/>
    <x v="128"/>
    <s v="3.95000004768372"/>
    <s v="3.95000004768372"/>
    <n v="0"/>
    <n v="0"/>
    <n v="0"/>
    <s v="3.91000008583069"/>
    <s v="0.0399999991059303"/>
    <n v="0"/>
    <n v="0"/>
    <n v="311"/>
    <n v="1129"/>
    <n v="1852"/>
    <x v="0"/>
  </r>
  <r>
    <n v="3372868164"/>
    <d v="2016-04-02T00:00:00"/>
    <x v="129"/>
    <s v="5.23000001907349"/>
    <s v="5.23000001907349"/>
    <n v="0"/>
    <s v="1.67999994754791"/>
    <s v="0.0399999991059303"/>
    <d v="2026-05-03T00:00:00"/>
    <s v="0.00999999977648258"/>
    <n v="24"/>
    <n v="1"/>
    <n v="341"/>
    <n v="1074"/>
    <n v="2069"/>
    <x v="1"/>
  </r>
  <r>
    <n v="3372868164"/>
    <d v="2016-04-03T00:00:00"/>
    <x v="130"/>
    <s v="3.21000003814697"/>
    <s v="3.21000003814697"/>
    <n v="0"/>
    <n v="0"/>
    <n v="0"/>
    <s v="3.21000003814697"/>
    <n v="0"/>
    <n v="0"/>
    <n v="0"/>
    <n v="299"/>
    <n v="1141"/>
    <n v="1816"/>
    <x v="1"/>
  </r>
  <r>
    <n v="3372868164"/>
    <d v="2016-04-04T00:00:00"/>
    <x v="131"/>
    <s v="4.01999998092651"/>
    <s v="4.01999998092651"/>
    <n v="0"/>
    <s v="1.29999995231628"/>
    <s v="0.219999998807907"/>
    <s v="2.49000000953674"/>
    <s v="0.00999999977648258"/>
    <n v="20"/>
    <n v="7"/>
    <n v="233"/>
    <n v="1180"/>
    <n v="1878"/>
    <x v="0"/>
  </r>
  <r>
    <n v="3372868164"/>
    <d v="2016-04-05T00:00:00"/>
    <x v="132"/>
    <s v="3.03999996185303"/>
    <s v="3.03999996185303"/>
    <n v="0"/>
    <n v="0"/>
    <n v="0"/>
    <s v="3.01999998092651"/>
    <s v="0.0299999993294477"/>
    <n v="0"/>
    <n v="0"/>
    <n v="248"/>
    <n v="1192"/>
    <n v="1787"/>
    <x v="0"/>
  </r>
  <r>
    <n v="3372868164"/>
    <d v="2016-04-06T00:00:00"/>
    <x v="133"/>
    <s v="4.3899998664856"/>
    <s v="4.3899998664856"/>
    <n v="0"/>
    <s v="0.779999971389771"/>
    <s v="0.0900000035762787"/>
    <s v="3.51999998092651"/>
    <s v="0.00999999977648258"/>
    <n v="17"/>
    <n v="4"/>
    <n v="325"/>
    <n v="1094"/>
    <n v="2010"/>
    <x v="0"/>
  </r>
  <r>
    <n v="3372868164"/>
    <d v="2016-04-07T00:00:00"/>
    <x v="134"/>
    <s v="5.09999990463257"/>
    <s v="5.09999990463257"/>
    <n v="0"/>
    <s v="0.870000004768372"/>
    <s v="0.159999996423721"/>
    <s v="4.05000019073486"/>
    <s v="0.0199999995529652"/>
    <n v="14"/>
    <n v="9"/>
    <n v="332"/>
    <n v="1085"/>
    <n v="2038"/>
    <x v="0"/>
  </r>
  <r>
    <n v="3372868164"/>
    <d v="2016-04-08T00:00:00"/>
    <x v="135"/>
    <s v="3.78999996185303"/>
    <s v="3.78999996185303"/>
    <n v="0"/>
    <n v="0"/>
    <n v="0"/>
    <s v="3.76999998092651"/>
    <s v="0.00999999977648258"/>
    <n v="0"/>
    <n v="0"/>
    <n v="282"/>
    <n v="1158"/>
    <n v="1815"/>
    <x v="0"/>
  </r>
  <r>
    <n v="3372868164"/>
    <d v="2016-04-09T00:00:00"/>
    <x v="136"/>
    <d v="2025-06-01T00:00:00"/>
    <d v="2025-06-01T00:00:00"/>
    <n v="0"/>
    <s v="1.76999998092651"/>
    <s v="0.479999989271164"/>
    <n v="4"/>
    <s v="0.00999999977648258"/>
    <n v="21"/>
    <n v="10"/>
    <n v="346"/>
    <n v="1063"/>
    <n v="2062"/>
    <x v="1"/>
  </r>
  <r>
    <n v="3372868164"/>
    <d v="2016-04-10T00:00:00"/>
    <x v="137"/>
    <s v="3.1800000667572"/>
    <s v="3.1800000667572"/>
    <n v="0"/>
    <s v="1.03999996185303"/>
    <s v="0.150000005960464"/>
    <s v="1.99000000953674"/>
    <n v="0"/>
    <n v="22"/>
    <n v="4"/>
    <n v="152"/>
    <n v="735"/>
    <n v="1276"/>
    <x v="1"/>
  </r>
  <r>
    <n v="3977333714"/>
    <d v="2016-04-01T00:00:00"/>
    <x v="138"/>
    <s v="3.00999999046326"/>
    <s v="3.00999999046326"/>
    <n v="0"/>
    <n v="0"/>
    <n v="0"/>
    <s v="3.00999999046326"/>
    <n v="0"/>
    <n v="0"/>
    <n v="0"/>
    <n v="168"/>
    <n v="842"/>
    <n v="1288"/>
    <x v="0"/>
  </r>
  <r>
    <n v="3977333714"/>
    <d v="2016-04-02T00:00:00"/>
    <x v="139"/>
    <s v="5.09999990463257"/>
    <s v="5.09999990463257"/>
    <n v="0"/>
    <n v="0"/>
    <s v="0.180000007152557"/>
    <s v="4.90999984741211"/>
    <n v="0"/>
    <n v="0"/>
    <n v="6"/>
    <n v="302"/>
    <n v="842"/>
    <n v="1490"/>
    <x v="1"/>
  </r>
  <r>
    <n v="3977333714"/>
    <d v="2016-04-03T00:00:00"/>
    <x v="140"/>
    <s v="7.69999980926514"/>
    <s v="7.69999980926514"/>
    <n v="0"/>
    <s v="2.17000007629395"/>
    <s v="0.839999973773956"/>
    <s v="4.69000005722046"/>
    <n v="0"/>
    <n v="29"/>
    <n v="22"/>
    <n v="282"/>
    <n v="748"/>
    <n v="1630"/>
    <x v="1"/>
  </r>
  <r>
    <n v="3977333714"/>
    <d v="2016-04-04T00:00:00"/>
    <x v="141"/>
    <s v="7.98999977111816"/>
    <s v="7.98999977111816"/>
    <n v="0"/>
    <s v="1.02999997138977"/>
    <s v="2.00999999046326"/>
    <s v="4.94999980926514"/>
    <n v="0"/>
    <n v="16"/>
    <n v="43"/>
    <n v="297"/>
    <n v="710"/>
    <n v="1648"/>
    <x v="0"/>
  </r>
  <r>
    <n v="3977333714"/>
    <d v="2016-04-05T00:00:00"/>
    <x v="142"/>
    <s v="8.22999954223633"/>
    <s v="8.22999954223633"/>
    <n v="0"/>
    <s v="1.71000003814697"/>
    <s v="1.35000002384186"/>
    <s v="5.17000007629395"/>
    <n v="0"/>
    <n v="26"/>
    <n v="32"/>
    <n v="291"/>
    <n v="605"/>
    <n v="1649"/>
    <x v="0"/>
  </r>
  <r>
    <n v="3977333714"/>
    <d v="2016-04-06T00:00:00"/>
    <x v="143"/>
    <s v="10.3199996948242"/>
    <s v="10.3199996948242"/>
    <n v="0"/>
    <s v="1.62000000476837"/>
    <s v="1.82000005245209"/>
    <s v="6.86999988555908"/>
    <n v="0"/>
    <n v="24"/>
    <n v="45"/>
    <n v="331"/>
    <n v="614"/>
    <n v="1783"/>
    <x v="0"/>
  </r>
  <r>
    <n v="3977333714"/>
    <d v="2016-04-07T00:00:00"/>
    <x v="144"/>
    <s v="5.63000011444092"/>
    <s v="5.63000011444092"/>
    <n v="0"/>
    <n v="0"/>
    <s v="3.59999990463257"/>
    <s v="2.03999996185303"/>
    <n v="0"/>
    <n v="0"/>
    <n v="81"/>
    <n v="139"/>
    <n v="815"/>
    <n v="1431"/>
    <x v="0"/>
  </r>
  <r>
    <n v="3977333714"/>
    <d v="2016-04-08T00:00:00"/>
    <x v="145"/>
    <s v="6.84000015258789"/>
    <s v="6.84000015258789"/>
    <n v="0"/>
    <n v="0"/>
    <s v="4.44000005722046"/>
    <s v="2.40000009536743"/>
    <n v="0"/>
    <n v="0"/>
    <n v="101"/>
    <n v="174"/>
    <n v="685"/>
    <n v="1524"/>
    <x v="0"/>
  </r>
  <r>
    <n v="3977333714"/>
    <d v="2016-04-09T00:00:00"/>
    <x v="146"/>
    <s v="9.76000022888184"/>
    <s v="9.76000022888184"/>
    <n v="0"/>
    <s v="2.48000001907349"/>
    <s v="1.74000000953674"/>
    <s v="5.53000020980835"/>
    <n v="0"/>
    <n v="35"/>
    <n v="36"/>
    <n v="254"/>
    <n v="697"/>
    <n v="1697"/>
    <x v="1"/>
  </r>
  <r>
    <n v="3977333714"/>
    <d v="2016-04-10T00:00:00"/>
    <x v="147"/>
    <s v="2.39000010490417"/>
    <s v="2.39000010490417"/>
    <n v="0"/>
    <s v="0.939999997615814"/>
    <s v="0.409999996423721"/>
    <s v="0.970000028610229"/>
    <n v="0"/>
    <n v="15"/>
    <n v="8"/>
    <n v="99"/>
    <n v="866"/>
    <n v="1232"/>
    <x v="1"/>
  </r>
  <r>
    <n v="3977333714"/>
    <d v="2016-04-11T00:00:00"/>
    <x v="148"/>
    <s v="2.14000010490417"/>
    <s v="2.14000010490417"/>
    <n v="0"/>
    <s v="0.0700000002980232"/>
    <s v="0.0399999991059303"/>
    <s v="1.96000003814697"/>
    <n v="0"/>
    <n v="1"/>
    <n v="1"/>
    <n v="129"/>
    <n v="894"/>
    <n v="1223"/>
    <x v="0"/>
  </r>
  <r>
    <n v="3977333714"/>
    <d v="2016-04-12T00:00:00"/>
    <x v="149"/>
    <s v="0.569999992847443"/>
    <s v="0.569999992847443"/>
    <n v="0"/>
    <n v="0"/>
    <n v="0"/>
    <s v="0.569999992847443"/>
    <n v="0"/>
    <n v="0"/>
    <n v="0"/>
    <n v="17"/>
    <n v="187"/>
    <n v="182"/>
    <x v="0"/>
  </r>
  <r>
    <n v="4020332650"/>
    <d v="2016-03-12T00:00:00"/>
    <x v="150"/>
    <s v="3.97000002861023"/>
    <s v="3.97000002861023"/>
    <n v="0"/>
    <n v="0"/>
    <n v="0"/>
    <s v="3.96000003814697"/>
    <s v="0.00999999977648258"/>
    <n v="0"/>
    <n v="0"/>
    <n v="254"/>
    <n v="757"/>
    <n v="2990"/>
    <x v="1"/>
  </r>
  <r>
    <n v="4020332650"/>
    <d v="2016-03-13T00:00:00"/>
    <x v="151"/>
    <s v="2.30999994277954"/>
    <s v="2.30999994277954"/>
    <n v="0"/>
    <n v="0"/>
    <n v="0"/>
    <s v="2.27999997138977"/>
    <n v="0"/>
    <n v="0"/>
    <n v="0"/>
    <n v="136"/>
    <n v="771"/>
    <n v="2480"/>
    <x v="1"/>
  </r>
  <r>
    <n v="4020332650"/>
    <d v="2016-03-14T00:00:00"/>
    <x v="152"/>
    <s v="2.17000007629395"/>
    <s v="2.17000007629395"/>
    <n v="0"/>
    <n v="0"/>
    <n v="0"/>
    <s v="2.14000010490417"/>
    <n v="0"/>
    <n v="0"/>
    <n v="0"/>
    <n v="145"/>
    <n v="1005"/>
    <n v="2570"/>
    <x v="0"/>
  </r>
  <r>
    <n v="4020332650"/>
    <d v="2016-03-15T00:00:00"/>
    <x v="153"/>
    <s v="4.23000001907349"/>
    <s v="4.23000001907349"/>
    <n v="0"/>
    <n v="0"/>
    <s v="0.159999996423721"/>
    <s v="4.03999996185303"/>
    <n v="0"/>
    <n v="0"/>
    <n v="10"/>
    <n v="215"/>
    <n v="874"/>
    <n v="3016"/>
    <x v="0"/>
  </r>
  <r>
    <n v="4020332650"/>
    <d v="2016-03-16T00:00:00"/>
    <x v="154"/>
    <s v="8.98999977111816"/>
    <s v="8.98999977111816"/>
    <n v="0"/>
    <s v="1.45000004768372"/>
    <s v="0.569999992847443"/>
    <s v="6.90000009536743"/>
    <n v="0"/>
    <n v="25"/>
    <n v="14"/>
    <n v="309"/>
    <n v="599"/>
    <n v="3830"/>
    <x v="0"/>
  </r>
  <r>
    <n v="4020332650"/>
    <d v="2016-03-17T00:00:00"/>
    <x v="155"/>
    <s v="6.40999984741211"/>
    <s v="6.40999984741211"/>
    <n v="0"/>
    <n v="0"/>
    <n v="0"/>
    <s v="0.610000014305115"/>
    <s v="0.0399999991059303"/>
    <n v="0"/>
    <n v="0"/>
    <n v="47"/>
    <n v="986"/>
    <n v="3706"/>
    <x v="0"/>
  </r>
  <r>
    <n v="4020332650"/>
    <d v="2016-03-18T00:00:00"/>
    <x v="156"/>
    <s v="0.259999990463257"/>
    <s v="0.259999990463257"/>
    <n v="0"/>
    <n v="0"/>
    <n v="0"/>
    <n v="0"/>
    <n v="0"/>
    <n v="0"/>
    <n v="0"/>
    <n v="0"/>
    <n v="1440"/>
    <n v="2024"/>
    <x v="0"/>
  </r>
  <r>
    <n v="4020332650"/>
    <d v="2016-03-19T00:00:00"/>
    <x v="157"/>
    <s v="4.09000015258789"/>
    <s v="4.09000015258789"/>
    <n v="0"/>
    <n v="0"/>
    <n v="0"/>
    <n v="0"/>
    <n v="0"/>
    <n v="0"/>
    <n v="0"/>
    <n v="0"/>
    <n v="1440"/>
    <n v="2980"/>
    <x v="1"/>
  </r>
  <r>
    <n v="4020332650"/>
    <d v="2016-03-20T00:00:00"/>
    <x v="158"/>
    <s v="7.40999984741211"/>
    <s v="7.40999984741211"/>
    <n v="0"/>
    <n v="0"/>
    <n v="0"/>
    <n v="0"/>
    <n v="0"/>
    <n v="0"/>
    <n v="0"/>
    <n v="0"/>
    <n v="1440"/>
    <n v="3728"/>
    <x v="1"/>
  </r>
  <r>
    <n v="4020332650"/>
    <d v="2016-03-21T00:00:00"/>
    <x v="159"/>
    <s v="6.28999996185303"/>
    <s v="6.28999996185303"/>
    <n v="0"/>
    <n v="0"/>
    <n v="0"/>
    <n v="0"/>
    <n v="0"/>
    <n v="0"/>
    <n v="0"/>
    <n v="0"/>
    <n v="1440"/>
    <n v="3348"/>
    <x v="0"/>
  </r>
  <r>
    <n v="4020332650"/>
    <d v="2016-03-22T00:00:00"/>
    <x v="160"/>
    <s v="4.78000020980835"/>
    <s v="4.78000020980835"/>
    <n v="0"/>
    <n v="0"/>
    <n v="0"/>
    <n v="0"/>
    <n v="0"/>
    <n v="0"/>
    <n v="0"/>
    <n v="0"/>
    <n v="1440"/>
    <n v="3162"/>
    <x v="0"/>
  </r>
  <r>
    <n v="4020332650"/>
    <d v="2016-03-23T00:00:00"/>
    <x v="161"/>
    <s v="4.51999998092651"/>
    <s v="4.51999998092651"/>
    <n v="0"/>
    <n v="0"/>
    <n v="0"/>
    <n v="0"/>
    <n v="0"/>
    <n v="0"/>
    <n v="0"/>
    <n v="0"/>
    <n v="1440"/>
    <n v="3140"/>
    <x v="0"/>
  </r>
  <r>
    <n v="4020332650"/>
    <d v="2016-03-24T00:00:00"/>
    <x v="162"/>
    <s v="1.4099999666214"/>
    <s v="1.4099999666214"/>
    <n v="0"/>
    <n v="0"/>
    <n v="0"/>
    <n v="0"/>
    <n v="0"/>
    <n v="0"/>
    <n v="0"/>
    <n v="0"/>
    <n v="1440"/>
    <n v="1980"/>
    <x v="0"/>
  </r>
  <r>
    <n v="4020332650"/>
    <d v="2016-03-25T00:00:00"/>
    <x v="163"/>
    <s v="3.99000000953674"/>
    <s v="3.99000000953674"/>
    <n v="0"/>
    <n v="0"/>
    <n v="0"/>
    <n v="0"/>
    <n v="0"/>
    <n v="0"/>
    <n v="0"/>
    <n v="0"/>
    <n v="1440"/>
    <n v="3681"/>
    <x v="0"/>
  </r>
  <r>
    <n v="4020332650"/>
    <d v="2016-03-26T00:00:00"/>
    <x v="164"/>
    <s v="3.13000011444092"/>
    <s v="3.13000011444092"/>
    <n v="0"/>
    <n v="0"/>
    <n v="0"/>
    <n v="0"/>
    <n v="0"/>
    <n v="0"/>
    <n v="0"/>
    <n v="0"/>
    <n v="1440"/>
    <n v="3444"/>
    <x v="1"/>
  </r>
  <r>
    <n v="4020332650"/>
    <d v="2016-03-27T00:00:00"/>
    <x v="165"/>
    <s v="5.11999988555908"/>
    <s v="5.11999988555908"/>
    <n v="0"/>
    <n v="0"/>
    <n v="0"/>
    <n v="0"/>
    <n v="0"/>
    <n v="0"/>
    <n v="0"/>
    <n v="0"/>
    <n v="1440"/>
    <n v="3510"/>
    <x v="1"/>
  </r>
  <r>
    <n v="4020332650"/>
    <d v="2016-03-28T00:00:00"/>
    <x v="166"/>
    <s v="1.50999999046326"/>
    <s v="1.50999999046326"/>
    <n v="0"/>
    <s v="0.0199999995529652"/>
    <s v="0.0500000007450581"/>
    <s v="0.209999993443489"/>
    <n v="0"/>
    <n v="31"/>
    <n v="45"/>
    <n v="75"/>
    <n v="1289"/>
    <n v="4010"/>
    <x v="0"/>
  </r>
  <r>
    <n v="4020332650"/>
    <d v="2016-03-29T00:00:00"/>
    <x v="167"/>
    <s v="2.98000001907349"/>
    <s v="2.98000001907349"/>
    <n v="0"/>
    <n v="0"/>
    <n v="0"/>
    <s v="2.96000003814697"/>
    <n v="0"/>
    <n v="0"/>
    <n v="0"/>
    <n v="187"/>
    <n v="1253"/>
    <n v="2976"/>
    <x v="0"/>
  </r>
  <r>
    <n v="4020332650"/>
    <d v="2016-03-30T00:00:00"/>
    <x v="168"/>
    <s v="3.86999988555908"/>
    <s v="3.86999988555908"/>
    <n v="0"/>
    <n v="0"/>
    <n v="0"/>
    <s v="3.84999990463257"/>
    <n v="0"/>
    <n v="0"/>
    <n v="0"/>
    <n v="258"/>
    <n v="795"/>
    <n v="3418"/>
    <x v="0"/>
  </r>
  <r>
    <n v="4020332650"/>
    <d v="2016-03-31T00:00:00"/>
    <x v="169"/>
    <s v="5.32999992370605"/>
    <s v="5.32999992370605"/>
    <n v="0"/>
    <s v="0.870000004768372"/>
    <s v="0.920000016689301"/>
    <s v="3.50999999046326"/>
    <n v="0"/>
    <n v="18"/>
    <n v="33"/>
    <n v="261"/>
    <n v="860"/>
    <n v="3439"/>
    <x v="0"/>
  </r>
  <r>
    <n v="4020332650"/>
    <d v="2016-04-01T00:00:00"/>
    <x v="170"/>
    <s v="3.83999991416931"/>
    <s v="3.83999991416931"/>
    <n v="0"/>
    <s v="0.620000004768372"/>
    <s v="0.180000007152557"/>
    <s v="3.00999999046326"/>
    <n v="0"/>
    <n v="15"/>
    <n v="17"/>
    <n v="210"/>
    <n v="748"/>
    <n v="3338"/>
    <x v="0"/>
  </r>
  <r>
    <n v="4020332650"/>
    <d v="2016-04-02T00:00:00"/>
    <x v="171"/>
    <s v="3.09999990463257"/>
    <s v="3.09999990463257"/>
    <n v="0"/>
    <s v="0.0900000035762787"/>
    <s v="0.209999993443489"/>
    <s v="2.74000000953674"/>
    <s v="0.0399999991059303"/>
    <n v="3"/>
    <n v="15"/>
    <n v="162"/>
    <n v="752"/>
    <n v="2892"/>
    <x v="1"/>
  </r>
  <r>
    <n v="4020332650"/>
    <d v="2016-04-03T00:00:00"/>
    <x v="172"/>
    <s v="4.38000011444092"/>
    <s v="4.38000011444092"/>
    <n v="0"/>
    <n v="0"/>
    <n v="0"/>
    <s v="4.3600001335144"/>
    <n v="0"/>
    <n v="0"/>
    <n v="0"/>
    <n v="265"/>
    <n v="776"/>
    <n v="3313"/>
    <x v="1"/>
  </r>
  <r>
    <n v="4020332650"/>
    <d v="2016-04-04T00:00:00"/>
    <x v="173"/>
    <s v="4.59999990463257"/>
    <s v="4.59999990463257"/>
    <n v="0"/>
    <n v="0"/>
    <s v="0.949999988079071"/>
    <s v="3.65000009536743"/>
    <n v="0"/>
    <n v="0"/>
    <n v="28"/>
    <n v="193"/>
    <n v="741"/>
    <n v="3118"/>
    <x v="0"/>
  </r>
  <r>
    <n v="4020332650"/>
    <d v="2016-04-05T00:00:00"/>
    <x v="174"/>
    <s v="4.92999982833862"/>
    <s v="4.92999982833862"/>
    <n v="0"/>
    <s v="0.5"/>
    <s v="0.759999990463257"/>
    <s v="3.65000009536743"/>
    <n v="0"/>
    <n v="7"/>
    <n v="19"/>
    <n v="165"/>
    <n v="1249"/>
    <n v="2966"/>
    <x v="0"/>
  </r>
  <r>
    <n v="4020332650"/>
    <d v="2016-04-06T00:00:00"/>
    <x v="175"/>
    <s v="5.3600001335144"/>
    <s v="5.3600001335144"/>
    <n v="0"/>
    <n v="0"/>
    <n v="0"/>
    <s v="5.30999994277954"/>
    <n v="0"/>
    <n v="0"/>
    <n v="0"/>
    <n v="263"/>
    <n v="920"/>
    <n v="3253"/>
    <x v="0"/>
  </r>
  <r>
    <n v="4020332650"/>
    <d v="2016-04-07T00:00:00"/>
    <x v="176"/>
    <s v="4.71999979019165"/>
    <s v="4.71999979019165"/>
    <n v="0"/>
    <n v="0"/>
    <s v="0.28999999165535"/>
    <s v="4.3899998664856"/>
    <n v="0"/>
    <n v="0"/>
    <n v="8"/>
    <n v="241"/>
    <n v="1191"/>
    <n v="3032"/>
    <x v="0"/>
  </r>
  <r>
    <n v="4020332650"/>
    <d v="2016-04-08T00:00:00"/>
    <x v="177"/>
    <s v="7.51000022888184"/>
    <s v="7.51000022888184"/>
    <n v="0"/>
    <s v="0.409999996423721"/>
    <s v="1.47000002861023"/>
    <s v="5.01000022888184"/>
    <s v="0.0399999991059303"/>
    <n v="6"/>
    <n v="37"/>
    <n v="272"/>
    <n v="1125"/>
    <n v="4034"/>
    <x v="0"/>
  </r>
  <r>
    <n v="4020332650"/>
    <d v="2016-04-09T00:00:00"/>
    <x v="178"/>
    <s v="5.55000019073486"/>
    <s v="5.55000019073486"/>
    <n v="0"/>
    <s v="1.1599999666214"/>
    <s v="0.490000009536743"/>
    <s v="3.8199999332428"/>
    <s v="0.0599999986588955"/>
    <n v="20"/>
    <n v="12"/>
    <n v="223"/>
    <n v="1185"/>
    <n v="3264"/>
    <x v="1"/>
  </r>
  <r>
    <n v="4020332650"/>
    <d v="2016-04-10T00:00:00"/>
    <x v="179"/>
    <s v="3.6800000667572"/>
    <s v="3.6800000667572"/>
    <n v="0"/>
    <s v="0.180000007152557"/>
    <s v="0.239999994635582"/>
    <s v="3.21000003814697"/>
    <s v="0.00999999977648258"/>
    <n v="5"/>
    <n v="7"/>
    <n v="176"/>
    <n v="1178"/>
    <n v="2817"/>
    <x v="1"/>
  </r>
  <r>
    <n v="4020332650"/>
    <d v="2016-04-11T00:00:00"/>
    <x v="180"/>
    <s v="2.15000009536743"/>
    <s v="2.15000009536743"/>
    <n v="0"/>
    <n v="0"/>
    <n v="0"/>
    <s v="2.08999991416931"/>
    <n v="0"/>
    <n v="0"/>
    <n v="0"/>
    <n v="114"/>
    <n v="888"/>
    <n v="2507"/>
    <x v="0"/>
  </r>
  <r>
    <n v="4020332650"/>
    <d v="2016-04-12T00:00:00"/>
    <x v="181"/>
    <s v="0.00999999977648258"/>
    <s v="0.00999999977648258"/>
    <n v="0"/>
    <n v="0"/>
    <n v="0"/>
    <s v="0.00999999977648258"/>
    <n v="0"/>
    <n v="0"/>
    <n v="0"/>
    <n v="1"/>
    <n v="321"/>
    <n v="446"/>
    <x v="0"/>
  </r>
  <r>
    <n v="4057192912"/>
    <d v="2016-03-12T00:00:00"/>
    <x v="51"/>
    <n v="0"/>
    <n v="0"/>
    <n v="0"/>
    <n v="0"/>
    <n v="0"/>
    <n v="0"/>
    <n v="0"/>
    <n v="0"/>
    <n v="0"/>
    <n v="0"/>
    <n v="1440"/>
    <n v="1777"/>
    <x v="1"/>
  </r>
  <r>
    <n v="4057192912"/>
    <d v="2016-03-13T00:00:00"/>
    <x v="51"/>
    <n v="0"/>
    <n v="0"/>
    <n v="0"/>
    <n v="0"/>
    <n v="0"/>
    <n v="0"/>
    <n v="0"/>
    <n v="0"/>
    <n v="0"/>
    <n v="0"/>
    <n v="1440"/>
    <n v="1777"/>
    <x v="1"/>
  </r>
  <r>
    <n v="4057192912"/>
    <d v="2016-03-14T00:00:00"/>
    <x v="182"/>
    <s v="6.23000001907349"/>
    <s v="6.23000001907349"/>
    <n v="0"/>
    <s v="2.45000004768372"/>
    <s v="0.330000013113022"/>
    <s v="3.44000005722046"/>
    <n v="0"/>
    <n v="30"/>
    <n v="7"/>
    <n v="135"/>
    <n v="1268"/>
    <n v="2453"/>
    <x v="0"/>
  </r>
  <r>
    <n v="4057192912"/>
    <d v="2016-03-15T00:00:00"/>
    <x v="51"/>
    <n v="0"/>
    <n v="0"/>
    <n v="0"/>
    <n v="0"/>
    <n v="0"/>
    <n v="0"/>
    <n v="0"/>
    <n v="0"/>
    <n v="0"/>
    <n v="0"/>
    <n v="1440"/>
    <n v="1776"/>
    <x v="0"/>
  </r>
  <r>
    <n v="4057192912"/>
    <d v="2016-03-16T00:00:00"/>
    <x v="183"/>
    <s v="1.55999994277954"/>
    <s v="1.55999994277954"/>
    <n v="0"/>
    <n v="0"/>
    <s v="1.29999995231628"/>
    <s v="0.259999990463257"/>
    <n v="0"/>
    <n v="0"/>
    <n v="28"/>
    <n v="15"/>
    <n v="1397"/>
    <n v="1935"/>
    <x v="0"/>
  </r>
  <r>
    <n v="4057192912"/>
    <d v="2016-03-17T00:00:00"/>
    <x v="51"/>
    <n v="0"/>
    <n v="0"/>
    <n v="0"/>
    <n v="0"/>
    <n v="0"/>
    <n v="0"/>
    <n v="0"/>
    <n v="0"/>
    <n v="0"/>
    <n v="0"/>
    <n v="1440"/>
    <n v="1776"/>
    <x v="0"/>
  </r>
  <r>
    <n v="4057192912"/>
    <d v="2016-03-18T00:00:00"/>
    <x v="184"/>
    <s v="0.689999997615814"/>
    <s v="0.689999997615814"/>
    <n v="0"/>
    <n v="0"/>
    <n v="0"/>
    <s v="0.689999997615814"/>
    <n v="0"/>
    <n v="0"/>
    <n v="0"/>
    <n v="34"/>
    <n v="1406"/>
    <n v="1870"/>
    <x v="0"/>
  </r>
  <r>
    <n v="4057192912"/>
    <d v="2016-03-19T00:00:00"/>
    <x v="51"/>
    <n v="0"/>
    <n v="0"/>
    <n v="0"/>
    <n v="0"/>
    <n v="0"/>
    <n v="0"/>
    <n v="0"/>
    <n v="0"/>
    <n v="0"/>
    <n v="0"/>
    <n v="1440"/>
    <n v="1777"/>
    <x v="1"/>
  </r>
  <r>
    <n v="4057192912"/>
    <d v="2016-03-20T00:00:00"/>
    <x v="185"/>
    <s v="0.0299999993294477"/>
    <s v="0.0299999993294477"/>
    <n v="0"/>
    <n v="0"/>
    <n v="0"/>
    <s v="0.0299999993294477"/>
    <n v="0"/>
    <n v="0"/>
    <n v="0"/>
    <n v="2"/>
    <n v="1438"/>
    <n v="1782"/>
    <x v="1"/>
  </r>
  <r>
    <n v="4057192912"/>
    <d v="2016-03-21T00:00:00"/>
    <x v="186"/>
    <s v="1.94000005722046"/>
    <s v="1.94000005722046"/>
    <n v="0"/>
    <n v="0"/>
    <n v="0"/>
    <s v="1.94000005722046"/>
    <n v="0"/>
    <n v="0"/>
    <n v="0"/>
    <n v="46"/>
    <n v="1394"/>
    <n v="1978"/>
    <x v="0"/>
  </r>
  <r>
    <n v="4057192912"/>
    <d v="2016-03-22T00:00:00"/>
    <x v="187"/>
    <s v="4.19000005722046"/>
    <s v="4.19000005722046"/>
    <n v="0"/>
    <n v="0"/>
    <n v="0"/>
    <s v="4.07000017166138"/>
    <n v="0"/>
    <n v="0"/>
    <n v="0"/>
    <n v="169"/>
    <n v="1271"/>
    <n v="2296"/>
    <x v="0"/>
  </r>
  <r>
    <n v="4057192912"/>
    <d v="2016-03-23T00:00:00"/>
    <x v="188"/>
    <s v="5.34000015258789"/>
    <s v="5.34000015258789"/>
    <n v="0"/>
    <s v="0.550000011920929"/>
    <s v="0.360000014305115"/>
    <s v="4.38000011444092"/>
    <n v="0"/>
    <n v="7"/>
    <n v="7"/>
    <n v="190"/>
    <n v="1236"/>
    <n v="2484"/>
    <x v="0"/>
  </r>
  <r>
    <n v="4057192912"/>
    <d v="2016-03-24T00:00:00"/>
    <x v="52"/>
    <s v="0.00999999977648258"/>
    <s v="0.00999999977648258"/>
    <n v="0"/>
    <n v="0"/>
    <n v="0"/>
    <s v="0.00999999977648258"/>
    <n v="0"/>
    <n v="0"/>
    <n v="0"/>
    <n v="1"/>
    <n v="1439"/>
    <n v="1787"/>
    <x v="0"/>
  </r>
  <r>
    <n v="4057192912"/>
    <d v="2016-03-25T00:00:00"/>
    <x v="51"/>
    <n v="0"/>
    <n v="0"/>
    <n v="0"/>
    <n v="0"/>
    <n v="0"/>
    <n v="0"/>
    <n v="0"/>
    <n v="0"/>
    <n v="0"/>
    <n v="0"/>
    <n v="1440"/>
    <n v="1776"/>
    <x v="0"/>
  </r>
  <r>
    <n v="4057192912"/>
    <d v="2016-03-26T00:00:00"/>
    <x v="51"/>
    <n v="0"/>
    <n v="0"/>
    <n v="0"/>
    <n v="0"/>
    <n v="0"/>
    <n v="0"/>
    <n v="0"/>
    <n v="0"/>
    <n v="0"/>
    <n v="0"/>
    <n v="1440"/>
    <n v="1776"/>
    <x v="1"/>
  </r>
  <r>
    <n v="4057192912"/>
    <d v="2016-03-27T00:00:00"/>
    <x v="189"/>
    <s v="1.67999994754791"/>
    <s v="1.67999994754791"/>
    <n v="0"/>
    <n v="0"/>
    <n v="0"/>
    <s v="1.6599999666214"/>
    <n v="0"/>
    <n v="0"/>
    <n v="0"/>
    <n v="86"/>
    <n v="1354"/>
    <n v="2005"/>
    <x v="1"/>
  </r>
  <r>
    <n v="4057192912"/>
    <d v="2016-03-28T00:00:00"/>
    <x v="181"/>
    <s v="0.00999999977648258"/>
    <s v="0.00999999977648258"/>
    <n v="0"/>
    <n v="0"/>
    <n v="0"/>
    <s v="0.00999999977648258"/>
    <n v="0"/>
    <n v="0"/>
    <n v="0"/>
    <n v="1"/>
    <n v="1439"/>
    <n v="1778"/>
    <x v="0"/>
  </r>
  <r>
    <n v="4057192912"/>
    <d v="2016-03-29T00:00:00"/>
    <x v="190"/>
    <s v="3.75999999046326"/>
    <s v="3.75999999046326"/>
    <n v="0"/>
    <n v="0"/>
    <n v="0"/>
    <s v="3.75999999046326"/>
    <n v="0"/>
    <n v="0"/>
    <n v="0"/>
    <n v="160"/>
    <n v="1280"/>
    <n v="2293"/>
    <x v="0"/>
  </r>
  <r>
    <n v="4057192912"/>
    <d v="2016-03-30T00:00:00"/>
    <x v="191"/>
    <n v="4"/>
    <s v="4.57000017166138"/>
    <s v="0.055842999368906"/>
    <n v="0"/>
    <n v="0"/>
    <s v="3.91000008583069"/>
    <s v="0.0599999986588955"/>
    <n v="0"/>
    <n v="0"/>
    <n v="145"/>
    <n v="1295"/>
    <n v="2259"/>
    <x v="0"/>
  </r>
  <r>
    <n v="4057192912"/>
    <d v="2016-03-31T00:00:00"/>
    <x v="51"/>
    <n v="0"/>
    <n v="0"/>
    <n v="0"/>
    <n v="0"/>
    <n v="0"/>
    <n v="0"/>
    <n v="0"/>
    <n v="0"/>
    <n v="0"/>
    <n v="0"/>
    <n v="1440"/>
    <n v="1776"/>
    <x v="0"/>
  </r>
  <r>
    <n v="4057192912"/>
    <d v="2016-04-01T00:00:00"/>
    <x v="51"/>
    <n v="0"/>
    <n v="0"/>
    <n v="0"/>
    <n v="0"/>
    <n v="0"/>
    <n v="0"/>
    <n v="0"/>
    <n v="0"/>
    <n v="0"/>
    <n v="0"/>
    <n v="1440"/>
    <n v="1776"/>
    <x v="0"/>
  </r>
  <r>
    <n v="4057192912"/>
    <d v="2016-04-02T00:00:00"/>
    <x v="51"/>
    <n v="0"/>
    <n v="0"/>
    <n v="0"/>
    <n v="0"/>
    <n v="0"/>
    <n v="0"/>
    <n v="0"/>
    <n v="0"/>
    <n v="0"/>
    <n v="0"/>
    <n v="1440"/>
    <n v="1776"/>
    <x v="1"/>
  </r>
  <r>
    <n v="4057192912"/>
    <d v="2016-04-03T00:00:00"/>
    <x v="51"/>
    <n v="0"/>
    <n v="0"/>
    <n v="0"/>
    <n v="0"/>
    <n v="0"/>
    <n v="0"/>
    <n v="0"/>
    <n v="0"/>
    <n v="0"/>
    <n v="0"/>
    <n v="1440"/>
    <n v="1776"/>
    <x v="1"/>
  </r>
  <r>
    <n v="4057192912"/>
    <d v="2016-04-04T00:00:00"/>
    <x v="51"/>
    <n v="0"/>
    <n v="0"/>
    <n v="0"/>
    <n v="0"/>
    <n v="0"/>
    <n v="0"/>
    <n v="0"/>
    <n v="0"/>
    <n v="0"/>
    <n v="0"/>
    <n v="1440"/>
    <n v="1776"/>
    <x v="0"/>
  </r>
  <r>
    <n v="4057192912"/>
    <d v="2016-04-05T00:00:00"/>
    <x v="51"/>
    <n v="0"/>
    <n v="0"/>
    <n v="0"/>
    <n v="0"/>
    <n v="0"/>
    <n v="0"/>
    <n v="0"/>
    <n v="0"/>
    <n v="0"/>
    <n v="0"/>
    <n v="1440"/>
    <n v="1776"/>
    <x v="0"/>
  </r>
  <r>
    <n v="4057192912"/>
    <d v="2016-04-06T00:00:00"/>
    <x v="192"/>
    <s v="0.00999999977648258"/>
    <s v="0.00999999977648258"/>
    <n v="0"/>
    <n v="0"/>
    <n v="0"/>
    <s v="0.00999999977648258"/>
    <n v="0"/>
    <n v="0"/>
    <n v="0"/>
    <n v="2"/>
    <n v="1438"/>
    <n v="1780"/>
    <x v="0"/>
  </r>
  <r>
    <n v="4057192912"/>
    <d v="2016-04-07T00:00:00"/>
    <x v="193"/>
    <n v="0"/>
    <n v="0"/>
    <n v="0"/>
    <n v="0"/>
    <n v="0"/>
    <n v="0"/>
    <n v="0"/>
    <n v="0"/>
    <n v="0"/>
    <n v="1"/>
    <n v="1439"/>
    <n v="1778"/>
    <x v="0"/>
  </r>
  <r>
    <n v="4057192912"/>
    <d v="2016-04-08T00:00:00"/>
    <x v="194"/>
    <s v="6.15999984741211"/>
    <s v="6.15999984741211"/>
    <n v="0"/>
    <s v="0.129999995231628"/>
    <s v="5.48999977111816"/>
    <s v="0.540000021457672"/>
    <n v="0"/>
    <n v="2"/>
    <n v="120"/>
    <n v="25"/>
    <n v="1293"/>
    <n v="2360"/>
    <x v="0"/>
  </r>
  <r>
    <n v="4057192912"/>
    <d v="2016-04-09T00:00:00"/>
    <x v="195"/>
    <s v="1.21000003814697"/>
    <s v="1.21000003814697"/>
    <n v="0"/>
    <n v="0"/>
    <n v="0"/>
    <s v="1.21000003814697"/>
    <n v="0"/>
    <n v="0"/>
    <n v="0"/>
    <n v="60"/>
    <n v="1380"/>
    <n v="1952"/>
    <x v="1"/>
  </r>
  <r>
    <n v="4057192912"/>
    <d v="2016-04-10T00:00:00"/>
    <x v="196"/>
    <s v="2.50999999046326"/>
    <s v="2.50999999046326"/>
    <n v="0"/>
    <s v="0.0700000002980232"/>
    <s v="0.300000011920929"/>
    <s v="2.14000010490417"/>
    <n v="0"/>
    <n v="1"/>
    <n v="7"/>
    <n v="108"/>
    <n v="1324"/>
    <n v="2101"/>
    <x v="1"/>
  </r>
  <r>
    <n v="4057192912"/>
    <d v="2016-04-11T00:00:00"/>
    <x v="197"/>
    <s v="4.98000001907349"/>
    <s v="4.98000001907349"/>
    <n v="0"/>
    <n v="0"/>
    <n v="0"/>
    <s v="4.96999979019165"/>
    <n v="0"/>
    <n v="0"/>
    <n v="0"/>
    <n v="193"/>
    <n v="1247"/>
    <n v="2393"/>
    <x v="0"/>
  </r>
  <r>
    <n v="4057192912"/>
    <d v="2016-04-12T00:00:00"/>
    <x v="198"/>
    <s v="0.140000000596046"/>
    <s v="0.140000000596046"/>
    <n v="0"/>
    <n v="0"/>
    <n v="0"/>
    <s v="0.140000000596046"/>
    <n v="0"/>
    <n v="0"/>
    <n v="0"/>
    <n v="11"/>
    <n v="400"/>
    <n v="538"/>
    <x v="0"/>
  </r>
  <r>
    <n v="4319703577"/>
    <d v="2016-03-29T00:00:00"/>
    <x v="199"/>
    <s v="3.78999996185303"/>
    <s v="3.78999996185303"/>
    <n v="0"/>
    <s v="0.230000004172325"/>
    <s v="0.330000013113022"/>
    <s v="3.23000001907349"/>
    <n v="0"/>
    <n v="3"/>
    <n v="8"/>
    <n v="199"/>
    <n v="683"/>
    <n v="1958"/>
    <x v="0"/>
  </r>
  <r>
    <n v="4319703577"/>
    <d v="2016-03-30T00:00:00"/>
    <x v="200"/>
    <s v="6.07000017166138"/>
    <s v="6.07000017166138"/>
    <n v="0"/>
    <s v="0.25"/>
    <s v="0.430000007152557"/>
    <s v="5.36999988555908"/>
    <n v="0"/>
    <n v="4"/>
    <n v="12"/>
    <n v="244"/>
    <n v="702"/>
    <n v="2141"/>
    <x v="0"/>
  </r>
  <r>
    <n v="4319703577"/>
    <d v="2016-03-31T00:00:00"/>
    <x v="201"/>
    <s v="5.46000003814697"/>
    <s v="5.46000003814697"/>
    <n v="0"/>
    <s v="0.25"/>
    <s v="0.610000014305115"/>
    <s v="4.6100001335144"/>
    <n v="0"/>
    <n v="4"/>
    <n v="17"/>
    <n v="247"/>
    <n v="1125"/>
    <n v="2129"/>
    <x v="0"/>
  </r>
  <r>
    <n v="4319703577"/>
    <d v="2016-04-01T00:00:00"/>
    <x v="202"/>
    <s v="6.26999998092651"/>
    <s v="6.26999998092651"/>
    <n v="0"/>
    <s v="0.959999978542328"/>
    <s v="0.850000023841858"/>
    <s v="4.46000003814697"/>
    <n v="0"/>
    <n v="14"/>
    <n v="20"/>
    <n v="268"/>
    <n v="654"/>
    <n v="2216"/>
    <x v="0"/>
  </r>
  <r>
    <n v="4319703577"/>
    <d v="2016-04-02T00:00:00"/>
    <x v="203"/>
    <s v="5.65999984741211"/>
    <s v="5.65999984741211"/>
    <n v="0"/>
    <s v="1.12999999523163"/>
    <s v="0.189999997615814"/>
    <s v="4.34000015258789"/>
    <n v="0"/>
    <n v="15"/>
    <n v="4"/>
    <n v="257"/>
    <n v="621"/>
    <n v="2154"/>
    <x v="1"/>
  </r>
  <r>
    <n v="4319703577"/>
    <d v="2016-04-03T00:00:00"/>
    <x v="204"/>
    <s v="5.51999998092651"/>
    <s v="5.51999998092651"/>
    <n v="0"/>
    <s v="0.800000011920929"/>
    <s v="1.50999999046326"/>
    <s v="3.21000003814697"/>
    <n v="0"/>
    <n v="12"/>
    <n v="37"/>
    <n v="257"/>
    <n v="551"/>
    <n v="2178"/>
    <x v="1"/>
  </r>
  <r>
    <n v="4319703577"/>
    <d v="2016-04-04T00:00:00"/>
    <x v="205"/>
    <s v="6.76000022888184"/>
    <s v="6.76000022888184"/>
    <n v="0"/>
    <s v="0.360000014305115"/>
    <s v="1.41999995708466"/>
    <s v="4.96999979019165"/>
    <n v="0"/>
    <n v="5"/>
    <n v="39"/>
    <n v="313"/>
    <n v="578"/>
    <n v="2308"/>
    <x v="0"/>
  </r>
  <r>
    <n v="4319703577"/>
    <d v="2016-04-05T00:00:00"/>
    <x v="206"/>
    <s v="5.63000011444092"/>
    <s v="5.63000011444092"/>
    <n v="0"/>
    <s v="0.230000004172325"/>
    <s v="0.529999971389771"/>
    <s v="4.86999988555908"/>
    <n v="0"/>
    <n v="3"/>
    <n v="14"/>
    <n v="311"/>
    <n v="638"/>
    <n v="2201"/>
    <x v="0"/>
  </r>
  <r>
    <n v="4319703577"/>
    <d v="2016-04-06T00:00:00"/>
    <x v="207"/>
    <s v="7.34999990463257"/>
    <s v="7.34999990463257"/>
    <n v="0"/>
    <s v="0.540000021457672"/>
    <s v="2.08999991416931"/>
    <s v="4.71999979019165"/>
    <n v="0"/>
    <n v="8"/>
    <n v="51"/>
    <n v="308"/>
    <n v="569"/>
    <n v="2341"/>
    <x v="0"/>
  </r>
  <r>
    <n v="4319703577"/>
    <d v="2016-04-07T00:00:00"/>
    <x v="208"/>
    <s v="6.15000009536743"/>
    <s v="6.15000009536743"/>
    <n v="0"/>
    <s v="0.5"/>
    <s v="0.379999995231628"/>
    <s v="5.26999998092651"/>
    <n v="0"/>
    <n v="7"/>
    <n v="11"/>
    <n v="304"/>
    <n v="668"/>
    <n v="2236"/>
    <x v="0"/>
  </r>
  <r>
    <n v="4319703577"/>
    <d v="2016-04-08T00:00:00"/>
    <x v="209"/>
    <s v="4.40999984741211"/>
    <s v="4.40999984741211"/>
    <n v="0"/>
    <s v="0.28999999165535"/>
    <s v="0.259999990463257"/>
    <s v="3.85999989509583"/>
    <n v="0"/>
    <n v="4"/>
    <n v="6"/>
    <n v="276"/>
    <n v="1132"/>
    <n v="2069"/>
    <x v="0"/>
  </r>
  <r>
    <n v="4319703577"/>
    <d v="2016-04-09T00:00:00"/>
    <x v="51"/>
    <n v="0"/>
    <n v="0"/>
    <n v="0"/>
    <n v="0"/>
    <n v="0"/>
    <n v="0"/>
    <n v="0"/>
    <n v="0"/>
    <n v="0"/>
    <n v="0"/>
    <n v="1440"/>
    <n v="0"/>
    <x v="1"/>
  </r>
  <r>
    <n v="4388161847"/>
    <d v="2016-03-29T00:00:00"/>
    <x v="51"/>
    <n v="0"/>
    <n v="0"/>
    <n v="0"/>
    <n v="0"/>
    <n v="0"/>
    <n v="0"/>
    <n v="0"/>
    <n v="0"/>
    <n v="0"/>
    <n v="0"/>
    <n v="1440"/>
    <n v="1878"/>
    <x v="0"/>
  </r>
  <r>
    <n v="4388161847"/>
    <d v="2016-03-30T00:00:00"/>
    <x v="51"/>
    <n v="0"/>
    <n v="0"/>
    <n v="0"/>
    <n v="0"/>
    <n v="0"/>
    <n v="0"/>
    <n v="0"/>
    <n v="0"/>
    <n v="0"/>
    <n v="0"/>
    <n v="1440"/>
    <n v="1878"/>
    <x v="0"/>
  </r>
  <r>
    <n v="4388161847"/>
    <d v="2016-03-31T00:00:00"/>
    <x v="51"/>
    <n v="0"/>
    <n v="0"/>
    <n v="0"/>
    <n v="0"/>
    <n v="0"/>
    <n v="0"/>
    <n v="0"/>
    <n v="0"/>
    <n v="0"/>
    <n v="0"/>
    <n v="1440"/>
    <n v="1878"/>
    <x v="0"/>
  </r>
  <r>
    <n v="4388161847"/>
    <d v="2016-04-01T00:00:00"/>
    <x v="51"/>
    <n v="0"/>
    <n v="0"/>
    <n v="0"/>
    <n v="0"/>
    <n v="0"/>
    <n v="0"/>
    <n v="0"/>
    <n v="0"/>
    <n v="0"/>
    <n v="0"/>
    <n v="1440"/>
    <n v="1878"/>
    <x v="0"/>
  </r>
  <r>
    <n v="4388161847"/>
    <d v="2016-04-02T00:00:00"/>
    <x v="51"/>
    <n v="0"/>
    <n v="0"/>
    <n v="0"/>
    <n v="0"/>
    <n v="0"/>
    <n v="0"/>
    <n v="0"/>
    <n v="0"/>
    <n v="0"/>
    <n v="0"/>
    <n v="1440"/>
    <n v="1878"/>
    <x v="1"/>
  </r>
  <r>
    <n v="4388161847"/>
    <d v="2016-04-03T00:00:00"/>
    <x v="51"/>
    <n v="0"/>
    <n v="0"/>
    <n v="0"/>
    <n v="0"/>
    <n v="0"/>
    <n v="0"/>
    <n v="0"/>
    <n v="0"/>
    <n v="0"/>
    <n v="0"/>
    <n v="1440"/>
    <n v="1878"/>
    <x v="1"/>
  </r>
  <r>
    <n v="4388161847"/>
    <d v="2016-04-04T00:00:00"/>
    <x v="51"/>
    <n v="0"/>
    <n v="0"/>
    <n v="0"/>
    <n v="0"/>
    <n v="0"/>
    <n v="0"/>
    <n v="0"/>
    <n v="0"/>
    <n v="0"/>
    <n v="0"/>
    <n v="1440"/>
    <n v="1878"/>
    <x v="0"/>
  </r>
  <r>
    <n v="4388161847"/>
    <d v="2016-04-05T00:00:00"/>
    <x v="51"/>
    <n v="0"/>
    <n v="0"/>
    <n v="0"/>
    <n v="0"/>
    <n v="0"/>
    <n v="0"/>
    <n v="0"/>
    <n v="0"/>
    <n v="0"/>
    <n v="0"/>
    <n v="994"/>
    <n v="1296"/>
    <x v="0"/>
  </r>
  <r>
    <n v="4445114986"/>
    <d v="2016-03-29T00:00:00"/>
    <x v="210"/>
    <s v="1.54999995231628"/>
    <s v="1.54999995231628"/>
    <n v="0"/>
    <n v="0"/>
    <n v="0"/>
    <s v="1.54999995231628"/>
    <n v="0"/>
    <n v="0"/>
    <n v="0"/>
    <n v="155"/>
    <n v="807"/>
    <n v="2010"/>
    <x v="0"/>
  </r>
  <r>
    <n v="4445114986"/>
    <d v="2016-03-30T00:00:00"/>
    <x v="211"/>
    <s v="1.74000000953674"/>
    <s v="1.74000000953674"/>
    <n v="0"/>
    <n v="0"/>
    <n v="0"/>
    <s v="1.74000000953674"/>
    <n v="0"/>
    <n v="0"/>
    <n v="0"/>
    <n v="163"/>
    <n v="1277"/>
    <n v="2032"/>
    <x v="0"/>
  </r>
  <r>
    <n v="4445114986"/>
    <d v="2016-03-31T00:00:00"/>
    <x v="212"/>
    <s v="3.22000002861023"/>
    <s v="3.22000002861023"/>
    <n v="0"/>
    <n v="0"/>
    <n v="0"/>
    <s v="3.22000002861023"/>
    <n v="0"/>
    <n v="0"/>
    <n v="0"/>
    <n v="238"/>
    <n v="786"/>
    <n v="2227"/>
    <x v="0"/>
  </r>
  <r>
    <n v="4445114986"/>
    <d v="2016-04-01T00:00:00"/>
    <x v="213"/>
    <s v="2.19000005722046"/>
    <s v="2.19000005722046"/>
    <n v="0"/>
    <n v="0"/>
    <n v="0"/>
    <s v="2.19000005722046"/>
    <n v="0"/>
    <n v="0"/>
    <n v="0"/>
    <n v="205"/>
    <n v="898"/>
    <n v="2133"/>
    <x v="0"/>
  </r>
  <r>
    <n v="4445114986"/>
    <d v="2016-04-02T00:00:00"/>
    <x v="214"/>
    <s v="3.63000011444092"/>
    <s v="3.63000011444092"/>
    <n v="0"/>
    <n v="0"/>
    <n v="0"/>
    <s v="3.60999989509583"/>
    <n v="0"/>
    <n v="0"/>
    <n v="0"/>
    <n v="273"/>
    <n v="672"/>
    <n v="2317"/>
    <x v="1"/>
  </r>
  <r>
    <n v="4445114986"/>
    <d v="2016-04-03T00:00:00"/>
    <x v="215"/>
    <s v="2.10999989509583"/>
    <s v="2.10999989509583"/>
    <n v="0"/>
    <n v="0"/>
    <n v="0"/>
    <s v="2.10999989509583"/>
    <n v="0"/>
    <n v="0"/>
    <n v="0"/>
    <n v="171"/>
    <n v="1269"/>
    <n v="2058"/>
    <x v="1"/>
  </r>
  <r>
    <n v="4445114986"/>
    <d v="2016-04-04T00:00:00"/>
    <x v="216"/>
    <s v="1.62999999523163"/>
    <s v="1.62999999523163"/>
    <n v="0"/>
    <n v="0"/>
    <n v="0"/>
    <s v="1.62999999523163"/>
    <n v="0"/>
    <n v="0"/>
    <n v="0"/>
    <n v="110"/>
    <n v="1330"/>
    <n v="1935"/>
    <x v="0"/>
  </r>
  <r>
    <n v="4445114986"/>
    <d v="2016-04-05T00:00:00"/>
    <x v="217"/>
    <s v="2.83999991416931"/>
    <s v="2.83999991416931"/>
    <n v="0"/>
    <s v="0.0599999986588955"/>
    <s v="0.239999994635582"/>
    <s v="2.52999997138977"/>
    <n v="0"/>
    <n v="1"/>
    <n v="6"/>
    <n v="235"/>
    <n v="702"/>
    <n v="2217"/>
    <x v="0"/>
  </r>
  <r>
    <n v="4445114986"/>
    <d v="2016-04-06T00:00:00"/>
    <x v="218"/>
    <s v="4.78000020980835"/>
    <s v="4.78000020980835"/>
    <n v="0"/>
    <s v="2.3199999332428"/>
    <s v="0.100000001490116"/>
    <s v="2.35999989509583"/>
    <n v="0"/>
    <n v="28"/>
    <n v="2"/>
    <n v="215"/>
    <n v="745"/>
    <n v="2374"/>
    <x v="0"/>
  </r>
  <r>
    <n v="4445114986"/>
    <d v="2016-04-07T00:00:00"/>
    <x v="219"/>
    <s v="4.6100001335144"/>
    <s v="4.6100001335144"/>
    <n v="0"/>
    <s v="2.01999998092651"/>
    <s v="0.0500000007450581"/>
    <s v="2.54999995231628"/>
    <n v="0"/>
    <n v="24"/>
    <n v="1"/>
    <n v="208"/>
    <n v="939"/>
    <n v="2335"/>
    <x v="0"/>
  </r>
  <r>
    <n v="4445114986"/>
    <d v="2016-04-08T00:00:00"/>
    <x v="150"/>
    <s v="3.72000002861023"/>
    <s v="3.72000002861023"/>
    <n v="0"/>
    <n v="0"/>
    <n v="0"/>
    <s v="3.72000002861023"/>
    <n v="0"/>
    <n v="0"/>
    <n v="0"/>
    <n v="266"/>
    <n v="941"/>
    <n v="2303"/>
    <x v="0"/>
  </r>
  <r>
    <n v="4445114986"/>
    <d v="2016-04-09T00:00:00"/>
    <x v="220"/>
    <s v="2.80999994277954"/>
    <s v="2.80999994277954"/>
    <n v="0"/>
    <n v="0"/>
    <n v="0"/>
    <s v="2.80999994277954"/>
    <n v="0"/>
    <n v="0"/>
    <n v="0"/>
    <n v="239"/>
    <n v="758"/>
    <n v="2210"/>
    <x v="1"/>
  </r>
  <r>
    <n v="4445114986"/>
    <d v="2016-04-10T00:00:00"/>
    <x v="221"/>
    <s v="4.44999980926514"/>
    <s v="4.44999980926514"/>
    <n v="0"/>
    <n v="0"/>
    <n v="0"/>
    <s v="4.44999980926514"/>
    <n v="0"/>
    <n v="0"/>
    <n v="0"/>
    <n v="316"/>
    <n v="755"/>
    <n v="2424"/>
    <x v="1"/>
  </r>
  <r>
    <n v="4445114986"/>
    <d v="2016-04-11T00:00:00"/>
    <x v="222"/>
    <s v="4.13000011444092"/>
    <s v="4.13000011444092"/>
    <n v="0"/>
    <s v="1.95000004768372"/>
    <s v="0.230000004172325"/>
    <s v="1.95000004768372"/>
    <n v="0"/>
    <n v="23"/>
    <n v="5"/>
    <n v="195"/>
    <n v="789"/>
    <n v="2297"/>
    <x v="0"/>
  </r>
  <r>
    <n v="4445114986"/>
    <d v="2016-04-12T00:00:00"/>
    <x v="223"/>
    <s v="0.189999997615814"/>
    <s v="0.189999997615814"/>
    <n v="0"/>
    <n v="0"/>
    <n v="0"/>
    <s v="0.189999997615814"/>
    <n v="0"/>
    <n v="0"/>
    <n v="0"/>
    <n v="20"/>
    <n v="253"/>
    <n v="745"/>
    <x v="0"/>
  </r>
  <r>
    <n v="4558609924"/>
    <d v="2016-04-01T00:00:00"/>
    <x v="224"/>
    <s v="3.52999997138977"/>
    <s v="3.52999997138977"/>
    <n v="0"/>
    <n v="0"/>
    <n v="0"/>
    <s v="3.52999997138977"/>
    <n v="0"/>
    <n v="0"/>
    <n v="0"/>
    <n v="258"/>
    <n v="1182"/>
    <n v="1902"/>
    <x v="0"/>
  </r>
  <r>
    <n v="4558609924"/>
    <d v="2016-04-02T00:00:00"/>
    <x v="225"/>
    <s v="2.09999990463257"/>
    <s v="2.09999990463257"/>
    <n v="0"/>
    <n v="0"/>
    <n v="0"/>
    <s v="2.09999990463257"/>
    <n v="0"/>
    <n v="0"/>
    <n v="0"/>
    <n v="173"/>
    <n v="1180"/>
    <n v="1680"/>
    <x v="1"/>
  </r>
  <r>
    <n v="4558609924"/>
    <d v="2016-04-03T00:00:00"/>
    <x v="226"/>
    <s v="4.07999992370605"/>
    <s v="4.07999992370605"/>
    <n v="0"/>
    <s v="0.0700000002980232"/>
    <s v="0.259999990463257"/>
    <d v="1975-03-01T00:00:00"/>
    <n v="0"/>
    <n v="1"/>
    <n v="7"/>
    <n v="269"/>
    <n v="886"/>
    <n v="1901"/>
    <x v="1"/>
  </r>
  <r>
    <n v="4558609924"/>
    <d v="2016-04-04T00:00:00"/>
    <x v="227"/>
    <s v="5.42000007629395"/>
    <s v="5.42000007629395"/>
    <n v="0"/>
    <n v="0"/>
    <n v="0"/>
    <s v="5.42000007629395"/>
    <n v="0"/>
    <n v="0"/>
    <n v="0"/>
    <n v="367"/>
    <n v="1073"/>
    <n v="2078"/>
    <x v="0"/>
  </r>
  <r>
    <n v="4558609924"/>
    <d v="2016-04-05T00:00:00"/>
    <x v="228"/>
    <s v="4.48999977111816"/>
    <s v="4.48999977111816"/>
    <n v="0"/>
    <s v="1.5900000333786"/>
    <s v="0.860000014305115"/>
    <s v="2.03999996185303"/>
    <n v="0"/>
    <n v="24"/>
    <n v="14"/>
    <n v="185"/>
    <n v="1217"/>
    <n v="1876"/>
    <x v="0"/>
  </r>
  <r>
    <n v="4558609924"/>
    <d v="2016-04-06T00:00:00"/>
    <x v="229"/>
    <d v="1975-03-01T00:00:00"/>
    <d v="1975-03-01T00:00:00"/>
    <n v="0"/>
    <n v="0"/>
    <n v="0"/>
    <d v="1975-03-01T00:00:00"/>
    <n v="0"/>
    <n v="0"/>
    <n v="0"/>
    <n v="259"/>
    <n v="1181"/>
    <n v="1853"/>
    <x v="0"/>
  </r>
  <r>
    <n v="4558609924"/>
    <d v="2016-04-07T00:00:00"/>
    <x v="230"/>
    <s v="5.28999996185303"/>
    <s v="5.28999996185303"/>
    <n v="0"/>
    <s v="0.509999990463257"/>
    <s v="0.25"/>
    <s v="4.53000020980835"/>
    <n v="0"/>
    <n v="27"/>
    <n v="12"/>
    <n v="296"/>
    <n v="1105"/>
    <n v="2235"/>
    <x v="0"/>
  </r>
  <r>
    <n v="4558609924"/>
    <d v="2016-04-08T00:00:00"/>
    <x v="220"/>
    <s v="2.76999998092651"/>
    <s v="2.76999998092651"/>
    <n v="0"/>
    <n v="0"/>
    <n v="0"/>
    <s v="2.76999998092651"/>
    <n v="0"/>
    <n v="0"/>
    <n v="0"/>
    <n v="241"/>
    <n v="1199"/>
    <n v="1778"/>
    <x v="0"/>
  </r>
  <r>
    <n v="4558609924"/>
    <d v="2016-04-09T00:00:00"/>
    <x v="231"/>
    <s v="3.64000010490417"/>
    <s v="3.64000010490417"/>
    <n v="0"/>
    <n v="0"/>
    <n v="0"/>
    <s v="3.64000010490417"/>
    <n v="0"/>
    <n v="0"/>
    <n v="0"/>
    <n v="276"/>
    <n v="1164"/>
    <n v="1882"/>
    <x v="1"/>
  </r>
  <r>
    <n v="4558609924"/>
    <d v="2016-04-10T00:00:00"/>
    <x v="232"/>
    <s v="4.1399998664856"/>
    <s v="4.1399998664856"/>
    <n v="0"/>
    <n v="0"/>
    <n v="0"/>
    <s v="4.13000011444092"/>
    <n v="0"/>
    <n v="0"/>
    <n v="0"/>
    <n v="290"/>
    <n v="1150"/>
    <n v="1906"/>
    <x v="1"/>
  </r>
  <r>
    <n v="4558609924"/>
    <d v="2016-04-11T00:00:00"/>
    <x v="233"/>
    <s v="5.84000015258789"/>
    <s v="5.84000015258789"/>
    <n v="0"/>
    <n v="0"/>
    <n v="0"/>
    <s v="5.84000015258789"/>
    <n v="0"/>
    <n v="0"/>
    <n v="0"/>
    <n v="308"/>
    <n v="1132"/>
    <n v="2149"/>
    <x v="0"/>
  </r>
  <r>
    <n v="4558609924"/>
    <d v="2016-04-12T00:00:00"/>
    <x v="234"/>
    <s v="0.829999983310699"/>
    <s v="0.829999983310699"/>
    <n v="0"/>
    <n v="0"/>
    <n v="0"/>
    <s v="0.819999992847443"/>
    <n v="0"/>
    <n v="0"/>
    <n v="0"/>
    <n v="76"/>
    <n v="555"/>
    <n v="722"/>
    <x v="0"/>
  </r>
  <r>
    <n v="4702921684"/>
    <d v="2016-03-29T00:00:00"/>
    <x v="235"/>
    <s v="5.28000020980835"/>
    <s v="5.28000020980835"/>
    <n v="0"/>
    <s v="0.330000013113022"/>
    <s v="0.270000010728836"/>
    <s v="4.67000007629395"/>
    <n v="0"/>
    <n v="4"/>
    <n v="5"/>
    <n v="241"/>
    <n v="760"/>
    <n v="2886"/>
    <x v="0"/>
  </r>
  <r>
    <n v="4702921684"/>
    <d v="2016-03-30T00:00:00"/>
    <x v="236"/>
    <s v="6.15000009536743"/>
    <s v="6.15000009536743"/>
    <n v="0"/>
    <s v="0.25"/>
    <s v="0.550000011920929"/>
    <s v="5.34999990463257"/>
    <n v="0"/>
    <n v="3"/>
    <n v="13"/>
    <n v="227"/>
    <n v="742"/>
    <n v="2915"/>
    <x v="0"/>
  </r>
  <r>
    <n v="4702921684"/>
    <d v="2016-03-31T00:00:00"/>
    <x v="237"/>
    <s v="5.65000009536743"/>
    <s v="5.65000009536743"/>
    <n v="0"/>
    <n v="0"/>
    <n v="0"/>
    <s v="5.65000009536743"/>
    <n v="0"/>
    <n v="0"/>
    <n v="0"/>
    <n v="256"/>
    <n v="759"/>
    <n v="2895"/>
    <x v="0"/>
  </r>
  <r>
    <n v="4702921684"/>
    <d v="2016-04-01T00:00:00"/>
    <x v="238"/>
    <s v="5.80999994277954"/>
    <s v="5.80999994277954"/>
    <n v="0"/>
    <n v="0"/>
    <s v="0.370000004768372"/>
    <s v="5.44000005722046"/>
    <n v="0"/>
    <n v="0"/>
    <n v="9"/>
    <n v="248"/>
    <n v="708"/>
    <n v="2923"/>
    <x v="0"/>
  </r>
  <r>
    <n v="4702921684"/>
    <d v="2016-04-02T00:00:00"/>
    <x v="239"/>
    <s v="8.38000011444092"/>
    <s v="8.38000011444092"/>
    <n v="0"/>
    <n v="0"/>
    <s v="1.46000003814697"/>
    <s v="6.92000007629395"/>
    <n v="0"/>
    <n v="0"/>
    <n v="32"/>
    <n v="367"/>
    <n v="475"/>
    <n v="3323"/>
    <x v="1"/>
  </r>
  <r>
    <n v="4702921684"/>
    <d v="2016-04-03T00:00:00"/>
    <x v="240"/>
    <s v="9.82999992370605"/>
    <s v="9.82999992370605"/>
    <n v="0"/>
    <s v="0.25"/>
    <s v="2.84999990463257"/>
    <s v="6.71999979019165"/>
    <n v="0"/>
    <n v="3"/>
    <n v="57"/>
    <n v="323"/>
    <n v="471"/>
    <n v="3357"/>
    <x v="1"/>
  </r>
  <r>
    <n v="4702921684"/>
    <d v="2016-04-04T00:00:00"/>
    <x v="241"/>
    <s v="6.3600001335144"/>
    <s v="6.3600001335144"/>
    <n v="0"/>
    <s v="0.479999989271164"/>
    <s v="1.20000004768372"/>
    <s v="4.67999982833862"/>
    <n v="0"/>
    <n v="6"/>
    <n v="27"/>
    <n v="216"/>
    <n v="746"/>
    <n v="2931"/>
    <x v="0"/>
  </r>
  <r>
    <n v="4702921684"/>
    <d v="2016-04-05T00:00:00"/>
    <x v="242"/>
    <s v="5.40999984741211"/>
    <s v="5.40999984741211"/>
    <n v="0"/>
    <s v="1.24000000953674"/>
    <s v="0.800000011920929"/>
    <s v="3.36999988555908"/>
    <n v="0"/>
    <n v="15"/>
    <n v="16"/>
    <n v="199"/>
    <n v="770"/>
    <n v="2848"/>
    <x v="0"/>
  </r>
  <r>
    <n v="4702921684"/>
    <d v="2016-04-06T00:00:00"/>
    <x v="243"/>
    <s v="6.17999982833862"/>
    <s v="6.17999982833862"/>
    <n v="0"/>
    <s v="0.330000013113022"/>
    <s v="0.209999993443489"/>
    <s v="5.63000011444092"/>
    <n v="0"/>
    <n v="4"/>
    <n v="4"/>
    <n v="248"/>
    <n v="708"/>
    <n v="2943"/>
    <x v="0"/>
  </r>
  <r>
    <n v="4702921684"/>
    <d v="2016-04-07T00:00:00"/>
    <x v="244"/>
    <s v="5.34000015258789"/>
    <s v="5.34000015258789"/>
    <n v="0"/>
    <n v="0"/>
    <n v="0"/>
    <s v="5.34000015258789"/>
    <n v="0"/>
    <n v="0"/>
    <n v="0"/>
    <n v="210"/>
    <n v="770"/>
    <n v="2822"/>
    <x v="0"/>
  </r>
  <r>
    <n v="4702921684"/>
    <d v="2016-04-08T00:00:00"/>
    <x v="245"/>
    <s v="6.6399998664856"/>
    <s v="6.6399998664856"/>
    <n v="0"/>
    <n v="0"/>
    <s v="0.620000004768372"/>
    <s v="5.94999980926514"/>
    <n v="0"/>
    <n v="0"/>
    <n v="15"/>
    <n v="247"/>
    <n v="808"/>
    <n v="2981"/>
    <x v="0"/>
  </r>
  <r>
    <n v="4702921684"/>
    <d v="2016-04-09T00:00:00"/>
    <x v="246"/>
    <s v="11.3599996566772"/>
    <s v="11.3599996566772"/>
    <n v="0"/>
    <s v="0.610000014305115"/>
    <s v="2.6800000667572"/>
    <s v="8.0600004196167"/>
    <n v="0"/>
    <n v="8"/>
    <n v="56"/>
    <n v="381"/>
    <n v="407"/>
    <n v="3597"/>
    <x v="1"/>
  </r>
  <r>
    <n v="4702921684"/>
    <d v="2016-04-10T00:00:00"/>
    <x v="247"/>
    <s v="9.02999973297119"/>
    <s v="9.02999973297119"/>
    <n v="0"/>
    <s v="0.0799999982118607"/>
    <s v="1.1599999666214"/>
    <s v="7.78999996185303"/>
    <n v="0"/>
    <n v="1"/>
    <n v="25"/>
    <n v="331"/>
    <n v="528"/>
    <n v="3224"/>
    <x v="1"/>
  </r>
  <r>
    <n v="4702921684"/>
    <d v="2016-04-11T00:00:00"/>
    <x v="248"/>
    <s v="5.26999998092651"/>
    <s v="5.26999998092651"/>
    <n v="0"/>
    <n v="0"/>
    <n v="0"/>
    <s v="5.26999998092651"/>
    <n v="0"/>
    <n v="0"/>
    <n v="0"/>
    <n v="207"/>
    <n v="809"/>
    <n v="2677"/>
    <x v="0"/>
  </r>
  <r>
    <n v="4702921684"/>
    <d v="2016-04-12T00:00:00"/>
    <x v="51"/>
    <n v="0"/>
    <n v="0"/>
    <n v="0"/>
    <n v="0"/>
    <n v="0"/>
    <n v="0"/>
    <n v="0"/>
    <n v="0"/>
    <n v="0"/>
    <n v="0"/>
    <n v="1440"/>
    <n v="0"/>
    <x v="0"/>
  </r>
  <r>
    <n v="5553957443"/>
    <d v="2016-04-01T00:00:00"/>
    <x v="249"/>
    <s v="8.10000038146973"/>
    <s v="8.10000038146973"/>
    <n v="0"/>
    <s v="2.90000009536743"/>
    <s v="0.629999995231628"/>
    <s v="4.57999992370605"/>
    <n v="0"/>
    <n v="51"/>
    <n v="12"/>
    <n v="235"/>
    <n v="782"/>
    <n v="2142"/>
    <x v="0"/>
  </r>
  <r>
    <n v="5553957443"/>
    <d v="2016-04-02T00:00:00"/>
    <x v="250"/>
    <s v="1.91999995708466"/>
    <s v="1.91999995708466"/>
    <n v="0"/>
    <n v="0"/>
    <n v="0"/>
    <s v="1.9099999666214"/>
    <n v="0"/>
    <n v="0"/>
    <n v="0"/>
    <n v="181"/>
    <n v="356"/>
    <n v="1615"/>
    <x v="1"/>
  </r>
  <r>
    <n v="5553957443"/>
    <d v="2016-04-03T00:00:00"/>
    <x v="251"/>
    <s v="0.990000009536743"/>
    <s v="0.990000009536743"/>
    <n v="0"/>
    <n v="0"/>
    <n v="0"/>
    <s v="0.990000009536743"/>
    <n v="0"/>
    <n v="0"/>
    <n v="0"/>
    <n v="93"/>
    <n v="507"/>
    <n v="1481"/>
    <x v="1"/>
  </r>
  <r>
    <n v="5553957443"/>
    <d v="2016-04-04T00:00:00"/>
    <x v="252"/>
    <s v="5.88000011444092"/>
    <s v="5.88000011444092"/>
    <n v="0"/>
    <s v="2.0699999332428"/>
    <s v="0.439999997615814"/>
    <s v="3.35999989509583"/>
    <n v="0"/>
    <n v="27"/>
    <n v="8"/>
    <n v="198"/>
    <n v="754"/>
    <n v="1892"/>
    <x v="0"/>
  </r>
  <r>
    <n v="5553957443"/>
    <d v="2016-04-05T00:00:00"/>
    <x v="253"/>
    <s v="7.38000011444092"/>
    <s v="7.38000011444092"/>
    <n v="0"/>
    <s v="2.30999994277954"/>
    <s v="0.980000019073486"/>
    <s v="4.09000015258789"/>
    <n v="0"/>
    <n v="40"/>
    <n v="26"/>
    <n v="218"/>
    <n v="772"/>
    <n v="2086"/>
    <x v="0"/>
  </r>
  <r>
    <n v="5553957443"/>
    <d v="2016-04-06T00:00:00"/>
    <x v="254"/>
    <n v="8"/>
    <n v="8"/>
    <n v="0"/>
    <s v="2.41000008583069"/>
    <s v="1.70000004768372"/>
    <s v="3.89000010490417"/>
    <n v="0"/>
    <n v="33"/>
    <n v="28"/>
    <n v="229"/>
    <n v="745"/>
    <n v="2044"/>
    <x v="0"/>
  </r>
  <r>
    <n v="5553957443"/>
    <d v="2016-04-07T00:00:00"/>
    <x v="255"/>
    <s v="10.0799999237061"/>
    <s v="10.0799999237061"/>
    <n v="0"/>
    <s v="3.26999998092651"/>
    <s v="1.73000001907349"/>
    <s v="5.07999992370605"/>
    <n v="0"/>
    <n v="51"/>
    <n v="39"/>
    <n v="243"/>
    <n v="731"/>
    <n v="2249"/>
    <x v="0"/>
  </r>
  <r>
    <n v="5553957443"/>
    <d v="2016-04-08T00:00:00"/>
    <x v="256"/>
    <s v="6.48999977111816"/>
    <s v="6.48999977111816"/>
    <n v="0"/>
    <s v="2.14000010490417"/>
    <s v="1.27999997138977"/>
    <s v="3.07999992370605"/>
    <n v="0"/>
    <n v="38"/>
    <n v="24"/>
    <n v="193"/>
    <n v="767"/>
    <n v="2019"/>
    <x v="0"/>
  </r>
  <r>
    <n v="5553957443"/>
    <d v="2016-04-09T00:00:00"/>
    <x v="257"/>
    <n v="3"/>
    <n v="3"/>
    <n v="0"/>
    <n v="0"/>
    <n v="0"/>
    <n v="3"/>
    <n v="0"/>
    <n v="0"/>
    <n v="0"/>
    <n v="176"/>
    <n v="578"/>
    <n v="1692"/>
    <x v="1"/>
  </r>
  <r>
    <n v="5553957443"/>
    <d v="2016-04-10T00:00:00"/>
    <x v="258"/>
    <s v="3.65000009536743"/>
    <s v="3.65000009536743"/>
    <n v="0"/>
    <s v="0.280000001192093"/>
    <s v="1.48000001907349"/>
    <s v="1.88999998569489"/>
    <n v="0"/>
    <n v="4"/>
    <n v="25"/>
    <n v="150"/>
    <n v="552"/>
    <n v="1712"/>
    <x v="1"/>
  </r>
  <r>
    <n v="5553957443"/>
    <d v="2016-04-11T00:00:00"/>
    <x v="259"/>
    <s v="7.76999998092651"/>
    <s v="7.76999998092651"/>
    <n v="0"/>
    <s v="2.25999999046326"/>
    <s v="1.51999998092651"/>
    <s v="3.99000000953674"/>
    <n v="0"/>
    <n v="32"/>
    <n v="27"/>
    <n v="234"/>
    <n v="688"/>
    <n v="2065"/>
    <x v="0"/>
  </r>
  <r>
    <n v="5553957443"/>
    <d v="2016-04-12T00:00:00"/>
    <x v="260"/>
    <s v="2.24000000953674"/>
    <s v="2.24000000953674"/>
    <n v="0"/>
    <s v="0.5"/>
    <s v="0.670000016689301"/>
    <s v="1.04999995231628"/>
    <n v="0"/>
    <n v="7"/>
    <n v="11"/>
    <n v="50"/>
    <n v="61"/>
    <n v="633"/>
    <x v="0"/>
  </r>
  <r>
    <n v="5577150313"/>
    <d v="2016-04-01T00:00:00"/>
    <x v="261"/>
    <s v="7.86999988555908"/>
    <s v="7.86999988555908"/>
    <n v="0"/>
    <s v="4.76000022888184"/>
    <s v="0.850000023841858"/>
    <d v="2025-02-01T00:00:00"/>
    <n v="0"/>
    <n v="99"/>
    <n v="31"/>
    <n v="142"/>
    <n v="721"/>
    <n v="3625"/>
    <x v="0"/>
  </r>
  <r>
    <n v="5577150313"/>
    <d v="2016-04-02T00:00:00"/>
    <x v="262"/>
    <s v="11.1099996566772"/>
    <s v="11.1099996566772"/>
    <n v="0"/>
    <s v="8.1899995803833"/>
    <s v="0.600000023841858"/>
    <s v="2.30999994277954"/>
    <n v="0"/>
    <n v="202"/>
    <n v="36"/>
    <n v="153"/>
    <n v="663"/>
    <n v="4430"/>
    <x v="1"/>
  </r>
  <r>
    <n v="5577150313"/>
    <d v="2016-04-03T00:00:00"/>
    <x v="263"/>
    <s v="7.40999984741211"/>
    <s v="7.40999984741211"/>
    <n v="0"/>
    <s v="1.99000000953674"/>
    <s v="0.970000028610229"/>
    <s v="4.44000005722046"/>
    <n v="0"/>
    <n v="58"/>
    <n v="27"/>
    <n v="240"/>
    <n v="700"/>
    <n v="3427"/>
    <x v="1"/>
  </r>
  <r>
    <n v="5577150313"/>
    <d v="2016-04-04T00:00:00"/>
    <x v="264"/>
    <s v="5.55999994277954"/>
    <s v="5.55999994277954"/>
    <n v="0"/>
    <s v="2.3199999332428"/>
    <s v="0.360000014305115"/>
    <s v="2.88000011444092"/>
    <n v="0"/>
    <n v="70"/>
    <n v="19"/>
    <n v="204"/>
    <n v="689"/>
    <n v="3492"/>
    <x v="0"/>
  </r>
  <r>
    <n v="5577150313"/>
    <d v="2016-04-05T00:00:00"/>
    <x v="265"/>
    <s v="6.69999980926514"/>
    <s v="6.69999980926514"/>
    <n v="0"/>
    <s v="3.97000002861023"/>
    <s v="0.189999997615814"/>
    <s v="2.52999997138977"/>
    <n v="0"/>
    <n v="107"/>
    <n v="18"/>
    <n v="145"/>
    <n v="756"/>
    <n v="3597"/>
    <x v="0"/>
  </r>
  <r>
    <n v="5577150313"/>
    <d v="2016-04-06T00:00:00"/>
    <x v="266"/>
    <s v="8.30000019073486"/>
    <s v="8.30000019073486"/>
    <n v="0"/>
    <s v="3.13000011444092"/>
    <s v="1.37000000476837"/>
    <s v="3.80999994277954"/>
    <n v="0"/>
    <n v="83"/>
    <n v="52"/>
    <n v="190"/>
    <n v="695"/>
    <n v="3765"/>
    <x v="0"/>
  </r>
  <r>
    <n v="5577150313"/>
    <d v="2016-04-07T00:00:00"/>
    <x v="138"/>
    <s v="3.35999989509583"/>
    <s v="3.35999989509583"/>
    <n v="0"/>
    <s v="0.889999985694885"/>
    <s v="0.259999990463257"/>
    <s v="2.21000003814697"/>
    <n v="0"/>
    <n v="31"/>
    <n v="11"/>
    <n v="146"/>
    <n v="756"/>
    <n v="2775"/>
    <x v="0"/>
  </r>
  <r>
    <n v="5577150313"/>
    <d v="2016-04-08T00:00:00"/>
    <x v="267"/>
    <s v="3.25999999046326"/>
    <s v="3.25999999046326"/>
    <n v="0"/>
    <s v="0.129999995231628"/>
    <s v="0.0599999986588955"/>
    <s v="3.07999992370605"/>
    <n v="0"/>
    <n v="8"/>
    <n v="2"/>
    <n v="156"/>
    <n v="813"/>
    <n v="2486"/>
    <x v="0"/>
  </r>
  <r>
    <n v="5577150313"/>
    <d v="2016-04-09T00:00:00"/>
    <x v="268"/>
    <s v="7.84000015258789"/>
    <s v="7.84000015258789"/>
    <n v="0"/>
    <s v="4.90999984741211"/>
    <s v="0.779999971389771"/>
    <s v="2.15000009536743"/>
    <n v="0"/>
    <n v="123"/>
    <n v="62"/>
    <n v="138"/>
    <n v="601"/>
    <n v="3817"/>
    <x v="1"/>
  </r>
  <r>
    <n v="5577150313"/>
    <d v="2016-04-10T00:00:00"/>
    <x v="269"/>
    <s v="7.38000011444092"/>
    <s v="7.38000011444092"/>
    <n v="0"/>
    <s v="2.9300000667572"/>
    <s v="1.42999994754791"/>
    <s v="3.01999998092651"/>
    <n v="0"/>
    <n v="80"/>
    <n v="35"/>
    <n v="162"/>
    <n v="721"/>
    <n v="3378"/>
    <x v="1"/>
  </r>
  <r>
    <n v="5577150313"/>
    <d v="2016-04-11T00:00:00"/>
    <x v="270"/>
    <s v="2.14000010490417"/>
    <s v="2.14000010490417"/>
    <n v="0"/>
    <s v="1.03999996185303"/>
    <s v="0.25"/>
    <s v="0.839999973773956"/>
    <n v="0"/>
    <n v="39"/>
    <n v="17"/>
    <n v="54"/>
    <n v="209"/>
    <n v="1511"/>
    <x v="0"/>
  </r>
  <r>
    <n v="6117666160"/>
    <d v="2016-04-01T00:00:00"/>
    <x v="271"/>
    <s v="5.61999988555908"/>
    <s v="5.61999988555908"/>
    <n v="0"/>
    <n v="0"/>
    <n v="0"/>
    <s v="5.61999988555908"/>
    <n v="0"/>
    <n v="0"/>
    <n v="0"/>
    <n v="286"/>
    <n v="568"/>
    <n v="2210"/>
    <x v="0"/>
  </r>
  <r>
    <n v="6117666160"/>
    <d v="2016-04-02T00:00:00"/>
    <x v="272"/>
    <s v="14.8400001525879"/>
    <s v="14.8400001525879"/>
    <n v="0"/>
    <s v="0.239999994635582"/>
    <s v="2.08999991416931"/>
    <s v="12.5100002288818"/>
    <n v="0"/>
    <n v="3"/>
    <n v="30"/>
    <n v="475"/>
    <n v="466"/>
    <n v="2884"/>
    <x v="1"/>
  </r>
  <r>
    <n v="6117666160"/>
    <d v="2016-04-03T00:00:00"/>
    <x v="51"/>
    <n v="0"/>
    <n v="0"/>
    <n v="0"/>
    <n v="0"/>
    <n v="0"/>
    <n v="0"/>
    <n v="0"/>
    <n v="0"/>
    <n v="0"/>
    <n v="0"/>
    <n v="1440"/>
    <n v="1496"/>
    <x v="1"/>
  </r>
  <r>
    <n v="6117666160"/>
    <d v="2016-04-04T00:00:00"/>
    <x v="273"/>
    <s v="6.3899998664856"/>
    <s v="6.3899998664856"/>
    <n v="0"/>
    <s v="0.180000007152557"/>
    <s v="0.639999985694885"/>
    <s v="5.57000017166138"/>
    <n v="0"/>
    <n v="2"/>
    <n v="11"/>
    <n v="279"/>
    <n v="1148"/>
    <n v="2262"/>
    <x v="0"/>
  </r>
  <r>
    <n v="6117666160"/>
    <d v="2016-04-05T00:00:00"/>
    <x v="274"/>
    <s v="7.48000001907349"/>
    <s v="7.48000001907349"/>
    <n v="0"/>
    <n v="0"/>
    <n v="0"/>
    <s v="7.48000001907349"/>
    <n v="0"/>
    <n v="0"/>
    <n v="0"/>
    <n v="384"/>
    <n v="990"/>
    <n v="2445"/>
    <x v="0"/>
  </r>
  <r>
    <n v="6117666160"/>
    <d v="2016-04-06T00:00:00"/>
    <x v="249"/>
    <s v="9.36999988555908"/>
    <s v="9.36999988555908"/>
    <n v="0"/>
    <n v="0"/>
    <n v="0"/>
    <s v="9.36999988555908"/>
    <n v="0"/>
    <n v="0"/>
    <n v="0"/>
    <n v="491"/>
    <n v="388"/>
    <n v="2694"/>
    <x v="0"/>
  </r>
  <r>
    <n v="6117666160"/>
    <d v="2016-04-07T00:00:00"/>
    <x v="275"/>
    <s v="3.66000008583069"/>
    <s v="3.66000008583069"/>
    <n v="0"/>
    <n v="0"/>
    <n v="0"/>
    <s v="3.66000008583069"/>
    <n v="0"/>
    <n v="0"/>
    <n v="0"/>
    <n v="156"/>
    <n v="770"/>
    <n v="1903"/>
    <x v="0"/>
  </r>
  <r>
    <n v="6117666160"/>
    <d v="2016-04-08T00:00:00"/>
    <x v="276"/>
    <s v="6.76000022888184"/>
    <s v="6.76000022888184"/>
    <n v="0"/>
    <n v="0"/>
    <n v="0"/>
    <s v="6.73000001907349"/>
    <n v="0"/>
    <n v="0"/>
    <n v="0"/>
    <n v="422"/>
    <n v="1018"/>
    <n v="2482"/>
    <x v="0"/>
  </r>
  <r>
    <n v="6117666160"/>
    <d v="2016-04-09T00:00:00"/>
    <x v="277"/>
    <s v="8.14999961853027"/>
    <s v="8.14999961853027"/>
    <n v="0"/>
    <n v="0"/>
    <n v="0"/>
    <s v="8.14999961853027"/>
    <n v="0"/>
    <n v="0"/>
    <n v="0"/>
    <n v="506"/>
    <n v="413"/>
    <n v="2617"/>
    <x v="1"/>
  </r>
  <r>
    <n v="6117666160"/>
    <d v="2016-04-10T00:00:00"/>
    <x v="51"/>
    <n v="0"/>
    <n v="0"/>
    <n v="0"/>
    <n v="0"/>
    <n v="0"/>
    <n v="0"/>
    <n v="0"/>
    <n v="0"/>
    <n v="0"/>
    <n v="0"/>
    <n v="1440"/>
    <n v="0"/>
    <x v="1"/>
  </r>
  <r>
    <n v="6290855005"/>
    <d v="2016-04-01T00:00:00"/>
    <x v="278"/>
    <s v="5.01000022888184"/>
    <s v="5.01000022888184"/>
    <n v="0"/>
    <n v="0"/>
    <n v="0"/>
    <s v="5.01000022888184"/>
    <n v="0"/>
    <n v="0"/>
    <n v="0"/>
    <n v="280"/>
    <n v="1160"/>
    <n v="2778"/>
    <x v="0"/>
  </r>
  <r>
    <n v="6290855005"/>
    <d v="2016-04-02T00:00:00"/>
    <x v="279"/>
    <s v="7.21999979019165"/>
    <s v="7.21999979019165"/>
    <n v="0"/>
    <s v="2.01999998092651"/>
    <s v="3.6800000667572"/>
    <s v="1.51999998092651"/>
    <n v="0"/>
    <n v="25"/>
    <n v="107"/>
    <n v="113"/>
    <n v="1195"/>
    <n v="3119"/>
    <x v="1"/>
  </r>
  <r>
    <n v="6290855005"/>
    <d v="2016-04-03T00:00:00"/>
    <x v="51"/>
    <n v="0"/>
    <n v="0"/>
    <n v="0"/>
    <n v="0"/>
    <n v="0"/>
    <n v="0"/>
    <n v="0"/>
    <n v="33"/>
    <n v="0"/>
    <n v="0"/>
    <n v="1407"/>
    <n v="2664"/>
    <x v="1"/>
  </r>
  <r>
    <n v="6290855005"/>
    <d v="2016-04-04T00:00:00"/>
    <x v="51"/>
    <n v="0"/>
    <n v="0"/>
    <n v="0"/>
    <n v="0"/>
    <n v="0"/>
    <n v="0"/>
    <n v="0"/>
    <n v="0"/>
    <n v="0"/>
    <n v="0"/>
    <n v="1440"/>
    <n v="2060"/>
    <x v="0"/>
  </r>
  <r>
    <n v="6290855005"/>
    <d v="2016-04-05T00:00:00"/>
    <x v="51"/>
    <n v="0"/>
    <n v="0"/>
    <n v="0"/>
    <n v="0"/>
    <n v="0"/>
    <n v="0"/>
    <n v="0"/>
    <n v="0"/>
    <n v="0"/>
    <n v="0"/>
    <n v="1440"/>
    <n v="2060"/>
    <x v="0"/>
  </r>
  <r>
    <n v="6290855005"/>
    <d v="2016-04-06T00:00:00"/>
    <x v="51"/>
    <n v="0"/>
    <n v="0"/>
    <n v="0"/>
    <n v="0"/>
    <n v="0"/>
    <n v="0"/>
    <n v="0"/>
    <n v="0"/>
    <n v="0"/>
    <n v="0"/>
    <n v="1440"/>
    <n v="2060"/>
    <x v="0"/>
  </r>
  <r>
    <n v="6290855005"/>
    <d v="2016-04-07T00:00:00"/>
    <x v="51"/>
    <n v="0"/>
    <n v="0"/>
    <n v="0"/>
    <n v="0"/>
    <n v="0"/>
    <n v="0"/>
    <n v="0"/>
    <n v="0"/>
    <n v="0"/>
    <n v="0"/>
    <n v="1440"/>
    <n v="2060"/>
    <x v="0"/>
  </r>
  <r>
    <n v="6290855005"/>
    <d v="2016-04-08T00:00:00"/>
    <x v="51"/>
    <n v="0"/>
    <n v="0"/>
    <n v="0"/>
    <n v="0"/>
    <n v="0"/>
    <n v="0"/>
    <n v="0"/>
    <n v="0"/>
    <n v="0"/>
    <n v="0"/>
    <n v="1440"/>
    <n v="2060"/>
    <x v="0"/>
  </r>
  <r>
    <n v="6290855005"/>
    <d v="2016-04-09T00:00:00"/>
    <x v="51"/>
    <n v="0"/>
    <n v="0"/>
    <n v="0"/>
    <n v="0"/>
    <n v="0"/>
    <n v="0"/>
    <n v="0"/>
    <n v="0"/>
    <n v="0"/>
    <n v="0"/>
    <n v="1440"/>
    <n v="2060"/>
    <x v="1"/>
  </r>
  <r>
    <n v="6290855005"/>
    <d v="2016-04-10T00:00:00"/>
    <x v="51"/>
    <n v="0"/>
    <n v="0"/>
    <n v="0"/>
    <n v="0"/>
    <n v="0"/>
    <n v="0"/>
    <n v="0"/>
    <n v="20"/>
    <n v="0"/>
    <n v="0"/>
    <n v="494"/>
    <n v="735"/>
    <x v="1"/>
  </r>
  <r>
    <n v="6391747486"/>
    <d v="2016-04-01T00:00:00"/>
    <x v="51"/>
    <n v="0"/>
    <n v="0"/>
    <n v="0"/>
    <n v="0"/>
    <n v="0"/>
    <n v="0"/>
    <n v="0"/>
    <n v="0"/>
    <n v="0"/>
    <n v="0"/>
    <n v="1440"/>
    <n v="1820"/>
    <x v="0"/>
  </r>
  <r>
    <n v="6391747486"/>
    <d v="2016-04-02T00:00:00"/>
    <x v="280"/>
    <s v="2.02999997138977"/>
    <n v="0"/>
    <s v="2.02777290344238"/>
    <s v="2.02999997138977"/>
    <n v="0"/>
    <n v="0"/>
    <n v="0"/>
    <n v="46"/>
    <n v="0"/>
    <n v="0"/>
    <n v="1394"/>
    <n v="2224"/>
    <x v="1"/>
  </r>
  <r>
    <n v="6391747486"/>
    <d v="2016-04-03T00:00:00"/>
    <x v="51"/>
    <n v="0"/>
    <n v="0"/>
    <n v="0"/>
    <n v="0"/>
    <n v="0"/>
    <n v="0"/>
    <n v="0"/>
    <n v="0"/>
    <n v="0"/>
    <n v="0"/>
    <n v="1440"/>
    <n v="1820"/>
    <x v="1"/>
  </r>
  <r>
    <n v="6391747486"/>
    <d v="2016-04-04T00:00:00"/>
    <x v="51"/>
    <n v="0"/>
    <n v="0"/>
    <n v="0"/>
    <n v="0"/>
    <n v="0"/>
    <n v="0"/>
    <n v="0"/>
    <n v="0"/>
    <n v="0"/>
    <n v="0"/>
    <n v="1440"/>
    <n v="1820"/>
    <x v="0"/>
  </r>
  <r>
    <n v="6391747486"/>
    <d v="2016-04-05T00:00:00"/>
    <x v="281"/>
    <s v="7.51000022888184"/>
    <s v="0.779999971389771"/>
    <s v="6.72705698013306"/>
    <n v="0"/>
    <s v="0.0500000007450581"/>
    <s v="7.46000003814697"/>
    <n v="0"/>
    <n v="0"/>
    <n v="6"/>
    <n v="301"/>
    <n v="1133"/>
    <n v="2442"/>
    <x v="0"/>
  </r>
  <r>
    <n v="6391747486"/>
    <d v="2016-04-06T00:00:00"/>
    <x v="282"/>
    <s v="0.129999995231628"/>
    <s v="0.129999995231628"/>
    <n v="0"/>
    <n v="0"/>
    <n v="0"/>
    <s v="0.129999995231628"/>
    <n v="0"/>
    <n v="0"/>
    <n v="0"/>
    <n v="8"/>
    <n v="1432"/>
    <n v="1849"/>
    <x v="0"/>
  </r>
  <r>
    <n v="6391747486"/>
    <d v="2016-04-07T00:00:00"/>
    <x v="51"/>
    <n v="0"/>
    <n v="0"/>
    <n v="0"/>
    <n v="0"/>
    <n v="0"/>
    <n v="0"/>
    <n v="0"/>
    <n v="0"/>
    <n v="0"/>
    <n v="0"/>
    <n v="1440"/>
    <n v="1822"/>
    <x v="0"/>
  </r>
  <r>
    <n v="6391747486"/>
    <d v="2016-04-08T00:00:00"/>
    <x v="51"/>
    <n v="0"/>
    <n v="0"/>
    <n v="0"/>
    <n v="0"/>
    <n v="0"/>
    <n v="0"/>
    <n v="0"/>
    <n v="0"/>
    <n v="0"/>
    <n v="0"/>
    <n v="1440"/>
    <n v="1820"/>
    <x v="0"/>
  </r>
  <r>
    <n v="6391747486"/>
    <d v="2016-04-09T00:00:00"/>
    <x v="51"/>
    <n v="0"/>
    <n v="0"/>
    <n v="0"/>
    <n v="0"/>
    <n v="0"/>
    <n v="0"/>
    <n v="0"/>
    <n v="0"/>
    <n v="0"/>
    <n v="0"/>
    <n v="198"/>
    <n v="251"/>
    <x v="1"/>
  </r>
  <r>
    <n v="6775888955"/>
    <d v="2016-04-01T00:00:00"/>
    <x v="283"/>
    <s v="5.17999982833862"/>
    <s v="5.17999982833862"/>
    <n v="0"/>
    <s v="1.73000001907349"/>
    <s v="1.26999998092651"/>
    <s v="2.1800000667572"/>
    <n v="0"/>
    <n v="25"/>
    <n v="50"/>
    <n v="163"/>
    <n v="1189"/>
    <n v="3065"/>
    <x v="0"/>
  </r>
  <r>
    <n v="6775888955"/>
    <d v="2016-04-02T00:00:00"/>
    <x v="284"/>
    <s v="1.42999994754791"/>
    <s v="1.42999994754791"/>
    <n v="0"/>
    <n v="0"/>
    <n v="0"/>
    <s v="1.42999994754791"/>
    <n v="0"/>
    <n v="0"/>
    <n v="0"/>
    <n v="79"/>
    <n v="909"/>
    <n v="2207"/>
    <x v="1"/>
  </r>
  <r>
    <n v="6775888955"/>
    <d v="2016-04-03T00:00:00"/>
    <x v="285"/>
    <s v="1.12999999523163"/>
    <s v="1.12999999523163"/>
    <n v="0"/>
    <s v="0.0700000002980232"/>
    <s v="0.889999985694885"/>
    <s v="0.170000001788139"/>
    <n v="0"/>
    <n v="1"/>
    <n v="17"/>
    <n v="8"/>
    <n v="1414"/>
    <n v="1977"/>
    <x v="1"/>
  </r>
  <r>
    <n v="6775888955"/>
    <d v="2016-04-04T00:00:00"/>
    <x v="51"/>
    <n v="0"/>
    <n v="0"/>
    <n v="0"/>
    <n v="0"/>
    <n v="0"/>
    <n v="0"/>
    <n v="0"/>
    <n v="0"/>
    <n v="0"/>
    <n v="0"/>
    <n v="1440"/>
    <n v="1841"/>
    <x v="0"/>
  </r>
  <r>
    <n v="6775888955"/>
    <d v="2016-04-05T00:00:00"/>
    <x v="286"/>
    <s v="6.69999980926514"/>
    <s v="6.69999980926514"/>
    <n v="0"/>
    <s v="1.12999999523163"/>
    <s v="2.03999996185303"/>
    <s v="3.14000010490417"/>
    <n v="0"/>
    <n v="56"/>
    <n v="133"/>
    <n v="240"/>
    <n v="1011"/>
    <n v="4286"/>
    <x v="0"/>
  </r>
  <r>
    <n v="6775888955"/>
    <d v="2016-04-06T00:00:00"/>
    <x v="287"/>
    <s v="8.43000030517578"/>
    <s v="8.43000030517578"/>
    <n v="0"/>
    <s v="1.30999994277954"/>
    <s v="2.44000005722046"/>
    <s v="4.67999982833862"/>
    <n v="0"/>
    <n v="24"/>
    <n v="99"/>
    <n v="300"/>
    <n v="550"/>
    <n v="3920"/>
    <x v="0"/>
  </r>
  <r>
    <n v="6775888955"/>
    <d v="2016-04-07T00:00:00"/>
    <x v="288"/>
    <s v="10.0299997329712"/>
    <s v="10.0299997329712"/>
    <n v="0"/>
    <s v="2.86999988555908"/>
    <s v="3.33999991416931"/>
    <s v="3.8199999332428"/>
    <n v="0"/>
    <n v="46"/>
    <n v="114"/>
    <n v="250"/>
    <n v="739"/>
    <n v="3856"/>
    <x v="0"/>
  </r>
  <r>
    <n v="6775888955"/>
    <d v="2016-04-08T00:00:00"/>
    <x v="289"/>
    <s v="2.96000003814697"/>
    <s v="2.96000003814697"/>
    <n v="0"/>
    <s v="1.37000000476837"/>
    <s v="0.610000014305115"/>
    <s v="0.980000019073486"/>
    <n v="0"/>
    <n v="27"/>
    <n v="30"/>
    <n v="75"/>
    <n v="1308"/>
    <n v="2584"/>
    <x v="0"/>
  </r>
  <r>
    <n v="6775888955"/>
    <d v="2016-04-09T00:00:00"/>
    <x v="290"/>
    <s v="0.00999999977648258"/>
    <s v="0.00999999977648258"/>
    <n v="0"/>
    <n v="0"/>
    <n v="0"/>
    <s v="0.00999999977648258"/>
    <n v="0"/>
    <n v="0"/>
    <n v="0"/>
    <n v="1"/>
    <n v="601"/>
    <n v="787"/>
    <x v="1"/>
  </r>
  <r>
    <n v="6962181067"/>
    <d v="2016-03-30T00:00:00"/>
    <x v="291"/>
    <s v="10.2399997711182"/>
    <s v="10.2399997711182"/>
    <n v="0"/>
    <s v="1.28999996185303"/>
    <s v="4.48999977111816"/>
    <s v="4.46000003814697"/>
    <n v="0"/>
    <n v="18"/>
    <n v="77"/>
    <n v="272"/>
    <n v="641"/>
    <n v="2244"/>
    <x v="0"/>
  </r>
  <r>
    <n v="6962181067"/>
    <d v="2016-03-31T00:00:00"/>
    <x v="292"/>
    <s v="9.31999969482422"/>
    <s v="9.31999969482422"/>
    <n v="0"/>
    <d v="2026-05-03T00:00:00"/>
    <s v="1.91999995708466"/>
    <s v="3.90000009536743"/>
    <n v="0"/>
    <n v="50"/>
    <n v="32"/>
    <n v="234"/>
    <n v="595"/>
    <n v="2188"/>
    <x v="0"/>
  </r>
  <r>
    <n v="6962181067"/>
    <d v="2016-04-01T00:00:00"/>
    <x v="293"/>
    <s v="6.98000001907349"/>
    <s v="6.98000001907349"/>
    <n v="0"/>
    <s v="0.699999988079071"/>
    <s v="2.4300000667572"/>
    <s v="3.84999990463257"/>
    <n v="0"/>
    <n v="9"/>
    <n v="45"/>
    <n v="252"/>
    <n v="602"/>
    <n v="2014"/>
    <x v="0"/>
  </r>
  <r>
    <n v="6962181067"/>
    <d v="2016-04-02T00:00:00"/>
    <x v="294"/>
    <s v="8.30000019073486"/>
    <s v="8.30000019073486"/>
    <n v="0"/>
    <s v="3.75999999046326"/>
    <s v="1.28999996185303"/>
    <s v="3.24000000953674"/>
    <n v="0"/>
    <n v="50"/>
    <n v="24"/>
    <n v="219"/>
    <n v="732"/>
    <n v="2115"/>
    <x v="1"/>
  </r>
  <r>
    <n v="6962181067"/>
    <d v="2016-04-03T00:00:00"/>
    <x v="295"/>
    <s v="8.14000034332275"/>
    <s v="8.14000034332275"/>
    <n v="0"/>
    <s v="1.00999999046326"/>
    <s v="3.25999999046326"/>
    <s v="3.86999988555908"/>
    <n v="0"/>
    <n v="14"/>
    <n v="51"/>
    <n v="218"/>
    <n v="589"/>
    <n v="2055"/>
    <x v="1"/>
  </r>
  <r>
    <n v="6962181067"/>
    <d v="2016-04-04T00:00:00"/>
    <x v="296"/>
    <s v="12.8000001907349"/>
    <s v="12.8000001907349"/>
    <n v="0"/>
    <s v="5.90999984741211"/>
    <s v="1.23000001907349"/>
    <s v="5.65999984741211"/>
    <n v="0"/>
    <n v="73"/>
    <n v="20"/>
    <n v="327"/>
    <n v="570"/>
    <n v="2437"/>
    <x v="0"/>
  </r>
  <r>
    <n v="6962181067"/>
    <d v="2016-04-05T00:00:00"/>
    <x v="297"/>
    <s v="7.94000005722046"/>
    <s v="7.94000005722046"/>
    <n v="0"/>
    <s v="2.38000011444092"/>
    <s v="0.949999988079071"/>
    <s v="4.6100001335144"/>
    <n v="0"/>
    <n v="38"/>
    <n v="17"/>
    <n v="287"/>
    <n v="692"/>
    <n v="2158"/>
    <x v="0"/>
  </r>
  <r>
    <n v="6962181067"/>
    <d v="2016-04-06T00:00:00"/>
    <x v="298"/>
    <s v="8.85999965667725"/>
    <d v="2025-08-01T00:00:00"/>
    <s v="3.97279500961304"/>
    <s v="4.17999982833862"/>
    <s v="0.689999997615814"/>
    <n v="4"/>
    <n v="0"/>
    <n v="55"/>
    <n v="14"/>
    <n v="276"/>
    <n v="593"/>
    <n v="2170"/>
    <x v="0"/>
  </r>
  <r>
    <n v="6962181067"/>
    <d v="2016-04-07T00:00:00"/>
    <x v="299"/>
    <s v="9.64999961853027"/>
    <s v="8.86999988555908"/>
    <s v="1.92630195617676"/>
    <s v="3.39000010490417"/>
    <d v="2025-01-01T00:00:00"/>
    <s v="4.90999984741211"/>
    <s v="0.100000001490116"/>
    <n v="45"/>
    <n v="16"/>
    <n v="284"/>
    <n v="665"/>
    <n v="2244"/>
    <x v="0"/>
  </r>
  <r>
    <n v="6962181067"/>
    <d v="2016-04-08T00:00:00"/>
    <x v="300"/>
    <s v="10.8800001144409"/>
    <s v="9.52000045776367"/>
    <s v="5.45686388015747"/>
    <s v="2.47000002861023"/>
    <s v="2.88000011444092"/>
    <s v="5.53000020980835"/>
    <n v="0"/>
    <n v="27"/>
    <n v="37"/>
    <n v="276"/>
    <n v="697"/>
    <n v="2188"/>
    <x v="0"/>
  </r>
  <r>
    <n v="6962181067"/>
    <d v="2016-04-09T00:00:00"/>
    <x v="301"/>
    <s v="8.26000022888184"/>
    <s v="8.26000022888184"/>
    <n v="0"/>
    <s v="2.21000003814697"/>
    <s v="1.0900000333786"/>
    <s v="4.96000003814697"/>
    <n v="0"/>
    <n v="33"/>
    <n v="19"/>
    <n v="324"/>
    <n v="609"/>
    <n v="2231"/>
    <x v="1"/>
  </r>
  <r>
    <n v="6962181067"/>
    <d v="2016-04-10T00:00:00"/>
    <x v="302"/>
    <s v="6.71000003814697"/>
    <s v="6.71000003814697"/>
    <n v="0"/>
    <s v="1.36000001430511"/>
    <s v="0.219999998807907"/>
    <s v="5.13000011444092"/>
    <n v="0"/>
    <n v="19"/>
    <n v="7"/>
    <n v="306"/>
    <n v="679"/>
    <n v="2100"/>
    <x v="1"/>
  </r>
  <r>
    <n v="6962181067"/>
    <d v="2016-04-11T00:00:00"/>
    <x v="303"/>
    <s v="9.09000015258789"/>
    <s v="8.17000007629395"/>
    <s v="2.69645500183105"/>
    <s v="1.0900000333786"/>
    <s v="2.73000001907349"/>
    <s v="5.26999998092651"/>
    <n v="0"/>
    <n v="21"/>
    <n v="38"/>
    <n v="297"/>
    <n v="678"/>
    <n v="2188"/>
    <x v="0"/>
  </r>
  <r>
    <n v="6962181067"/>
    <d v="2016-04-12T00:00:00"/>
    <x v="304"/>
    <s v="3.90000009536743"/>
    <s v="3.90000009536743"/>
    <n v="0"/>
    <s v="2.88000011444092"/>
    <s v="0.560000002384186"/>
    <s v="0.46000000834465"/>
    <n v="0"/>
    <n v="43"/>
    <n v="9"/>
    <n v="48"/>
    <n v="146"/>
    <n v="917"/>
    <x v="0"/>
  </r>
  <r>
    <n v="7007744171"/>
    <d v="2016-04-01T00:00:00"/>
    <x v="305"/>
    <s v="9.0600004196167"/>
    <s v="7.80999994277954"/>
    <s v="4.901282787323"/>
    <s v="4.48999977111816"/>
    <s v="0.330000013113022"/>
    <s v="4.23999977111816"/>
    <n v="0"/>
    <n v="50"/>
    <n v="7"/>
    <n v="244"/>
    <n v="1139"/>
    <n v="2573"/>
    <x v="0"/>
  </r>
  <r>
    <n v="7007744171"/>
    <d v="2016-04-02T00:00:00"/>
    <x v="306"/>
    <s v="7.34000015258789"/>
    <s v="7.34000015258789"/>
    <n v="0"/>
    <s v="0.550000011920929"/>
    <s v="0.670000016689301"/>
    <s v="6.13000011444092"/>
    <n v="0"/>
    <n v="9"/>
    <n v="16"/>
    <n v="271"/>
    <n v="1075"/>
    <n v="2575"/>
    <x v="1"/>
  </r>
  <r>
    <n v="7007744171"/>
    <d v="2016-04-03T00:00:00"/>
    <x v="307"/>
    <s v="11.2399997711182"/>
    <s v="11.2399997711182"/>
    <n v="0"/>
    <s v="6.40999984741211"/>
    <s v="1.37000000476837"/>
    <s v="3.47000002861023"/>
    <n v="0"/>
    <n v="104"/>
    <n v="31"/>
    <n v="230"/>
    <n v="1002"/>
    <n v="3086"/>
    <x v="1"/>
  </r>
  <r>
    <n v="7007744171"/>
    <d v="2016-04-04T00:00:00"/>
    <x v="308"/>
    <s v="11.3999996185303"/>
    <s v="10.210000038147"/>
    <s v="5.18984985351563"/>
    <s v="5.80000019073486"/>
    <s v="0.759999990463257"/>
    <s v="4.78999996185303"/>
    <s v="0.0500000007450581"/>
    <n v="70"/>
    <n v="21"/>
    <n v="292"/>
    <n v="1057"/>
    <n v="2886"/>
    <x v="0"/>
  </r>
  <r>
    <n v="7007744171"/>
    <d v="2016-04-05T00:00:00"/>
    <x v="309"/>
    <s v="9.14000034332275"/>
    <s v="8.07999992370605"/>
    <s v="4.83638000488281"/>
    <s v="4.3899998664856"/>
    <s v="0.46000000834465"/>
    <s v="4.28999996185303"/>
    <n v="0"/>
    <n v="50"/>
    <n v="6"/>
    <n v="284"/>
    <n v="1030"/>
    <n v="2676"/>
    <x v="0"/>
  </r>
  <r>
    <n v="7007744171"/>
    <d v="2016-04-06T00:00:00"/>
    <x v="310"/>
    <d v="2025-10-01T00:00:00"/>
    <s v="9.06999969482422"/>
    <s v="4.83572006225586"/>
    <s v="5.34999990463257"/>
    <s v="0.330000013113022"/>
    <s v="4.55999994277954"/>
    <n v="0"/>
    <n v="64"/>
    <n v="8"/>
    <n v="270"/>
    <n v="1098"/>
    <n v="2811"/>
    <x v="0"/>
  </r>
  <r>
    <n v="7007744171"/>
    <d v="2016-04-07T00:00:00"/>
    <x v="311"/>
    <s v="10.5799999237061"/>
    <s v="9.43000030517578"/>
    <s v="4.87598991394043"/>
    <s v="5.09999990463257"/>
    <s v="1.19000005722046"/>
    <s v="4.28000020980835"/>
    <n v="0"/>
    <n v="61"/>
    <n v="33"/>
    <n v="265"/>
    <n v="1015"/>
    <n v="2840"/>
    <x v="0"/>
  </r>
  <r>
    <n v="7007744171"/>
    <d v="2016-04-08T00:00:00"/>
    <x v="312"/>
    <s v="9.64999961853027"/>
    <s v="8.44999980926514"/>
    <s v="4.84231996536255"/>
    <s v="4.69999980926514"/>
    <s v="0.740000009536743"/>
    <s v="4.21000003814697"/>
    <n v="0"/>
    <n v="54"/>
    <n v="22"/>
    <n v="301"/>
    <n v="1063"/>
    <n v="2871"/>
    <x v="0"/>
  </r>
  <r>
    <n v="7007744171"/>
    <d v="2016-04-09T00:00:00"/>
    <x v="313"/>
    <s v="6.92000007629395"/>
    <s v="6.92000007629395"/>
    <n v="0"/>
    <s v="0.0700000002980232"/>
    <s v="0.270000010728836"/>
    <s v="6.57999992370605"/>
    <n v="0"/>
    <n v="2"/>
    <n v="6"/>
    <n v="358"/>
    <n v="1074"/>
    <n v="2613"/>
    <x v="1"/>
  </r>
  <r>
    <n v="7007744171"/>
    <d v="2016-04-10T00:00:00"/>
    <x v="314"/>
    <s v="6.78999996185303"/>
    <s v="6.78999996185303"/>
    <n v="0"/>
    <s v="0.0700000002980232"/>
    <s v="0.610000014305115"/>
    <s v="6.1100001335144"/>
    <n v="0"/>
    <n v="1"/>
    <n v="12"/>
    <n v="397"/>
    <n v="1030"/>
    <n v="2700"/>
    <x v="1"/>
  </r>
  <r>
    <n v="7007744171"/>
    <d v="2016-04-11T00:00:00"/>
    <x v="315"/>
    <s v="8.14000034332275"/>
    <s v="8.14000034332275"/>
    <n v="0"/>
    <s v="1.04999995231628"/>
    <s v="0.790000021457672"/>
    <s v="6.28999996185303"/>
    <n v="0"/>
    <n v="18"/>
    <n v="27"/>
    <n v="375"/>
    <n v="1020"/>
    <n v="2871"/>
    <x v="0"/>
  </r>
  <r>
    <n v="7007744171"/>
    <d v="2016-04-12T00:00:00"/>
    <x v="316"/>
    <s v="5.76999998092651"/>
    <s v="4.96000003814697"/>
    <s v="4.8697829246521"/>
    <d v="2026-05-04T00:00:00"/>
    <s v="0.340000003576279"/>
    <s v="0.939999997615814"/>
    <n v="0"/>
    <n v="53"/>
    <n v="6"/>
    <n v="43"/>
    <n v="405"/>
    <n v="1023"/>
    <x v="0"/>
  </r>
  <r>
    <n v="7086361926"/>
    <d v="2016-04-01T00:00:00"/>
    <x v="317"/>
    <s v="7.67000007629395"/>
    <s v="7.67000007629395"/>
    <n v="0"/>
    <s v="2.82999992370605"/>
    <s v="1.88999998569489"/>
    <s v="2.9300000667572"/>
    <n v="0"/>
    <n v="38"/>
    <n v="30"/>
    <n v="154"/>
    <n v="777"/>
    <n v="2496"/>
    <x v="0"/>
  </r>
  <r>
    <n v="7086361926"/>
    <d v="2016-04-02T00:00:00"/>
    <x v="318"/>
    <s v="0.0199999995529652"/>
    <s v="0.0199999995529652"/>
    <n v="0"/>
    <n v="0"/>
    <n v="0"/>
    <s v="0.00999999977648258"/>
    <n v="0"/>
    <n v="0"/>
    <n v="0"/>
    <n v="2"/>
    <n v="872"/>
    <n v="1641"/>
    <x v="1"/>
  </r>
  <r>
    <n v="7086361926"/>
    <d v="2016-04-03T00:00:00"/>
    <x v="319"/>
    <s v="1.30999994277954"/>
    <s v="1.30999994277954"/>
    <n v="0"/>
    <s v="0.230000004172325"/>
    <s v="0.349999994039536"/>
    <s v="0.730000019073486"/>
    <n v="0"/>
    <n v="3"/>
    <n v="6"/>
    <n v="27"/>
    <n v="1404"/>
    <n v="1794"/>
    <x v="1"/>
  </r>
  <r>
    <n v="7086361926"/>
    <d v="2016-04-04T00:00:00"/>
    <x v="320"/>
    <s v="3.86999988555908"/>
    <s v="3.86999988555908"/>
    <n v="0"/>
    <s v="0.529999971389771"/>
    <s v="0.230000004172325"/>
    <s v="3.09999990463257"/>
    <n v="0"/>
    <n v="31"/>
    <n v="24"/>
    <n v="138"/>
    <n v="1247"/>
    <n v="2421"/>
    <x v="0"/>
  </r>
  <r>
    <n v="7086361926"/>
    <d v="2016-04-05T00:00:00"/>
    <x v="321"/>
    <s v="4.98999977111816"/>
    <s v="4.98999977111816"/>
    <n v="0"/>
    <s v="1.79999995231628"/>
    <s v="0.529999971389771"/>
    <s v="2.60999989509583"/>
    <s v="0.0299999993294477"/>
    <n v="25"/>
    <n v="33"/>
    <n v="132"/>
    <n v="1159"/>
    <n v="2439"/>
    <x v="0"/>
  </r>
  <r>
    <n v="7086361926"/>
    <d v="2016-04-06T00:00:00"/>
    <x v="322"/>
    <s v="4.73000001907349"/>
    <s v="4.73000001907349"/>
    <n v="0"/>
    <s v="1.4099999666214"/>
    <s v="0.779999971389771"/>
    <s v="2.52999997138977"/>
    <n v="0"/>
    <n v="19"/>
    <n v="14"/>
    <n v="124"/>
    <n v="814"/>
    <n v="2233"/>
    <x v="0"/>
  </r>
  <r>
    <n v="7086361926"/>
    <d v="2016-04-07T00:00:00"/>
    <x v="323"/>
    <s v="10.8199996948242"/>
    <s v="10.8199996948242"/>
    <n v="0"/>
    <s v="7.23000001907349"/>
    <s v="1.12000000476837"/>
    <s v="2.4300000667572"/>
    <s v="0.0299999993294477"/>
    <n v="76"/>
    <n v="30"/>
    <n v="127"/>
    <n v="695"/>
    <n v="2862"/>
    <x v="0"/>
  </r>
  <r>
    <n v="7086361926"/>
    <d v="2016-04-08T00:00:00"/>
    <x v="324"/>
    <s v="6.51999998092651"/>
    <s v="6.51999998092651"/>
    <n v="0"/>
    <d v="2026-05-02T00:00:00"/>
    <s v="1.39999997615814"/>
    <s v="2.58999991416931"/>
    <n v="0"/>
    <n v="50"/>
    <n v="48"/>
    <n v="140"/>
    <n v="797"/>
    <n v="2752"/>
    <x v="0"/>
  </r>
  <r>
    <n v="7086361926"/>
    <d v="2016-04-09T00:00:00"/>
    <x v="325"/>
    <s v="4.67000007629395"/>
    <s v="4.67000007629395"/>
    <n v="0"/>
    <s v="1.08000004291534"/>
    <s v="0.129999995231628"/>
    <s v="3.46000003814697"/>
    <n v="0"/>
    <n v="27"/>
    <n v="5"/>
    <n v="204"/>
    <n v="717"/>
    <n v="2519"/>
    <x v="1"/>
  </r>
  <r>
    <n v="7086361926"/>
    <d v="2016-04-10T00:00:00"/>
    <x v="326"/>
    <s v="0.349999994039536"/>
    <s v="0.349999994039536"/>
    <n v="0"/>
    <n v="0"/>
    <n v="0"/>
    <s v="0.340000003576279"/>
    <n v="0"/>
    <n v="0"/>
    <n v="0"/>
    <n v="27"/>
    <n v="1368"/>
    <n v="1799"/>
    <x v="1"/>
  </r>
  <r>
    <n v="7086361926"/>
    <d v="2016-04-11T00:00:00"/>
    <x v="327"/>
    <s v="3.92000007629395"/>
    <s v="3.92000007629395"/>
    <n v="0"/>
    <s v="0.740000009536743"/>
    <s v="0.230000004172325"/>
    <s v="2.9300000667572"/>
    <n v="0"/>
    <n v="46"/>
    <n v="22"/>
    <n v="126"/>
    <n v="741"/>
    <n v="2543"/>
    <x v="0"/>
  </r>
  <r>
    <n v="7086361926"/>
    <d v="2016-04-12T00:00:00"/>
    <x v="328"/>
    <s v="0.259999990463257"/>
    <s v="0.259999990463257"/>
    <n v="0"/>
    <n v="0"/>
    <n v="0"/>
    <s v="0.259999990463257"/>
    <n v="0"/>
    <n v="0"/>
    <n v="0"/>
    <n v="14"/>
    <n v="75"/>
    <n v="625"/>
    <x v="0"/>
  </r>
  <r>
    <n v="8053475328"/>
    <d v="2016-04-02T00:00:00"/>
    <x v="329"/>
    <s v="15.6199998855591"/>
    <s v="15.6199998855591"/>
    <n v="0"/>
    <s v="12.0600004196167"/>
    <s v="0.850000023841858"/>
    <s v="2.71000003814697"/>
    <n v="0"/>
    <n v="124"/>
    <n v="19"/>
    <n v="172"/>
    <n v="1125"/>
    <n v="3377"/>
    <x v="1"/>
  </r>
  <r>
    <n v="8053475328"/>
    <d v="2016-04-03T00:00:00"/>
    <x v="330"/>
    <s v="20.1399993896484"/>
    <s v="20.1399993896484"/>
    <n v="0"/>
    <s v="16.8199996948242"/>
    <s v="1.62999999523163"/>
    <s v="1.69000005722046"/>
    <n v="0"/>
    <n v="165"/>
    <n v="36"/>
    <n v="97"/>
    <n v="1142"/>
    <n v="3697"/>
    <x v="1"/>
  </r>
  <r>
    <n v="8053475328"/>
    <d v="2016-04-04T00:00:00"/>
    <x v="331"/>
    <s v="13.210000038147"/>
    <s v="13.210000038147"/>
    <n v="0"/>
    <s v="9.67000007629395"/>
    <s v="0.180000007152557"/>
    <s v="3.34999990463257"/>
    <n v="0"/>
    <n v="100"/>
    <n v="4"/>
    <n v="213"/>
    <n v="1123"/>
    <n v="3209"/>
    <x v="0"/>
  </r>
  <r>
    <n v="8053475328"/>
    <d v="2016-04-05T00:00:00"/>
    <x v="332"/>
    <s v="13.4099998474121"/>
    <s v="13.4099998474121"/>
    <n v="0"/>
    <s v="9.96000003814697"/>
    <s v="0.310000002384186"/>
    <s v="3.14000010490417"/>
    <n v="0"/>
    <n v="98"/>
    <n v="8"/>
    <n v="184"/>
    <n v="1150"/>
    <n v="3167"/>
    <x v="0"/>
  </r>
  <r>
    <n v="8053475328"/>
    <d v="2016-04-06T00:00:00"/>
    <x v="333"/>
    <s v="12.4200000762939"/>
    <s v="12.4200000762939"/>
    <n v="0"/>
    <s v="8.96000003814697"/>
    <s v="0.550000011920929"/>
    <s v="2.91000008583069"/>
    <n v="0"/>
    <n v="100"/>
    <n v="14"/>
    <n v="191"/>
    <n v="1135"/>
    <n v="3122"/>
    <x v="0"/>
  </r>
  <r>
    <n v="8053475328"/>
    <d v="2016-04-07T00:00:00"/>
    <x v="334"/>
    <s v="13.1999998092651"/>
    <s v="13.1999998092651"/>
    <n v="0"/>
    <s v="9.97000026702881"/>
    <s v="0.239999994635582"/>
    <s v="2.99000000953674"/>
    <n v="0"/>
    <n v="101"/>
    <n v="6"/>
    <n v="190"/>
    <n v="1143"/>
    <n v="3176"/>
    <x v="0"/>
  </r>
  <r>
    <n v="8053475328"/>
    <d v="2016-04-08T00:00:00"/>
    <x v="335"/>
    <s v="9.53999996185303"/>
    <s v="9.53999996185303"/>
    <n v="0"/>
    <s v="6.76999998092651"/>
    <s v="0.259999990463257"/>
    <d v="2026-05-02T00:00:00"/>
    <n v="0"/>
    <n v="60"/>
    <n v="6"/>
    <n v="153"/>
    <n v="1221"/>
    <n v="2790"/>
    <x v="0"/>
  </r>
  <r>
    <n v="8053475328"/>
    <d v="2016-04-09T00:00:00"/>
    <x v="336"/>
    <s v="9.14000034332275"/>
    <s v="9.14000034332275"/>
    <n v="0"/>
    <s v="6.69000005722046"/>
    <s v="0.25"/>
    <s v="2.19000005722046"/>
    <n v="0"/>
    <n v="59"/>
    <n v="6"/>
    <n v="120"/>
    <n v="1255"/>
    <n v="2715"/>
    <x v="1"/>
  </r>
  <r>
    <n v="8053475328"/>
    <d v="2016-04-10T00:00:00"/>
    <x v="337"/>
    <s v="7.73000001907349"/>
    <s v="7.73000001907349"/>
    <n v="0"/>
    <s v="3.04999995231628"/>
    <s v="0.800000011920929"/>
    <s v="3.88000011444092"/>
    <n v="0"/>
    <n v="30"/>
    <n v="18"/>
    <n v="207"/>
    <n v="1185"/>
    <n v="2684"/>
    <x v="1"/>
  </r>
  <r>
    <n v="8053475328"/>
    <d v="2016-04-11T00:00:00"/>
    <x v="338"/>
    <s v="12.7200002670288"/>
    <s v="12.7200002670288"/>
    <n v="0"/>
    <s v="9.97999954223633"/>
    <s v="0.360000014305115"/>
    <s v="2.38000011444092"/>
    <n v="0"/>
    <n v="96"/>
    <n v="8"/>
    <n v="155"/>
    <n v="1181"/>
    <n v="3097"/>
    <x v="0"/>
  </r>
  <r>
    <n v="8053475328"/>
    <d v="2016-04-12T00:00:00"/>
    <x v="339"/>
    <s v="0.209999993443489"/>
    <s v="0.209999993443489"/>
    <n v="0"/>
    <n v="0"/>
    <n v="0"/>
    <s v="0.209999993443489"/>
    <n v="0"/>
    <n v="0"/>
    <n v="0"/>
    <n v="16"/>
    <n v="599"/>
    <n v="791"/>
    <x v="0"/>
  </r>
  <r>
    <n v="8253242879"/>
    <d v="2016-04-01T00:00:00"/>
    <x v="51"/>
    <n v="0"/>
    <n v="0"/>
    <n v="0"/>
    <n v="0"/>
    <n v="0"/>
    <n v="0"/>
    <n v="0"/>
    <n v="0"/>
    <n v="0"/>
    <n v="0"/>
    <n v="1440"/>
    <n v="1429"/>
    <x v="0"/>
  </r>
  <r>
    <n v="8253242879"/>
    <d v="2016-04-02T00:00:00"/>
    <x v="51"/>
    <n v="0"/>
    <n v="0"/>
    <n v="0"/>
    <n v="0"/>
    <n v="0"/>
    <n v="0"/>
    <n v="0"/>
    <n v="0"/>
    <n v="0"/>
    <n v="0"/>
    <n v="1440"/>
    <n v="1429"/>
    <x v="1"/>
  </r>
  <r>
    <n v="8253242879"/>
    <d v="2016-04-03T00:00:00"/>
    <x v="51"/>
    <n v="0"/>
    <n v="0"/>
    <n v="0"/>
    <n v="0"/>
    <n v="0"/>
    <n v="0"/>
    <n v="0"/>
    <n v="0"/>
    <n v="0"/>
    <n v="0"/>
    <n v="1440"/>
    <n v="1429"/>
    <x v="1"/>
  </r>
  <r>
    <n v="8253242879"/>
    <d v="2016-04-04T00:00:00"/>
    <x v="51"/>
    <n v="0"/>
    <n v="0"/>
    <n v="0"/>
    <n v="0"/>
    <n v="0"/>
    <n v="0"/>
    <n v="0"/>
    <n v="0"/>
    <n v="0"/>
    <n v="0"/>
    <n v="1440"/>
    <n v="1429"/>
    <x v="0"/>
  </r>
  <r>
    <n v="8253242879"/>
    <d v="2016-04-05T00:00:00"/>
    <x v="51"/>
    <n v="0"/>
    <n v="0"/>
    <n v="0"/>
    <n v="0"/>
    <n v="0"/>
    <n v="0"/>
    <n v="0"/>
    <n v="0"/>
    <n v="0"/>
    <n v="0"/>
    <n v="1440"/>
    <n v="1429"/>
    <x v="0"/>
  </r>
  <r>
    <n v="8253242879"/>
    <d v="2016-04-06T00:00:00"/>
    <x v="340"/>
    <s v="1.27999997138977"/>
    <s v="1.27999997138977"/>
    <n v="0"/>
    <n v="0"/>
    <n v="0"/>
    <s v="1.27999997138977"/>
    <n v="0"/>
    <n v="0"/>
    <n v="0"/>
    <n v="94"/>
    <n v="1346"/>
    <n v="1607"/>
    <x v="0"/>
  </r>
  <r>
    <n v="8253242879"/>
    <d v="2016-04-07T00:00:00"/>
    <x v="341"/>
    <s v="3.42000007629395"/>
    <s v="3.42000007629395"/>
    <n v="0"/>
    <n v="1"/>
    <s v="0.910000026226044"/>
    <s v="1.50999999046326"/>
    <s v="0.00999999977648258"/>
    <n v="15"/>
    <n v="15"/>
    <n v="107"/>
    <n v="1303"/>
    <n v="1776"/>
    <x v="0"/>
  </r>
  <r>
    <n v="8253242879"/>
    <d v="2016-04-08T00:00:00"/>
    <x v="342"/>
    <s v="9.14999961853027"/>
    <s v="9.14999961853027"/>
    <n v="0"/>
    <s v="5.69999980926514"/>
    <s v="0.930000007152557"/>
    <s v="2.50999999046326"/>
    <n v="0"/>
    <n v="47"/>
    <n v="13"/>
    <n v="150"/>
    <n v="1230"/>
    <n v="2162"/>
    <x v="0"/>
  </r>
  <r>
    <n v="8253242879"/>
    <d v="2016-04-09T00:00:00"/>
    <x v="343"/>
    <s v="3.53999996185303"/>
    <s v="3.53999996185303"/>
    <n v="0"/>
    <s v="0.540000021457672"/>
    <s v="1.54999995231628"/>
    <s v="1.46000003814697"/>
    <n v="0"/>
    <n v="8"/>
    <n v="28"/>
    <n v="148"/>
    <n v="1256"/>
    <n v="1832"/>
    <x v="1"/>
  </r>
  <r>
    <n v="8253242879"/>
    <d v="2016-04-10T00:00:00"/>
    <x v="344"/>
    <s v="1.67999994754791"/>
    <s v="1.67999994754791"/>
    <n v="0"/>
    <n v="0"/>
    <n v="0"/>
    <s v="1.66999995708466"/>
    <s v="0.0199999995529652"/>
    <n v="0"/>
    <n v="0"/>
    <n v="126"/>
    <n v="1314"/>
    <n v="1657"/>
    <x v="1"/>
  </r>
  <r>
    <n v="8253242879"/>
    <d v="2016-04-11T00:00:00"/>
    <x v="345"/>
    <s v="1.08000004291534"/>
    <s v="1.08000004291534"/>
    <n v="0"/>
    <n v="0"/>
    <n v="0"/>
    <s v="1.08000004291534"/>
    <n v="0"/>
    <n v="0"/>
    <n v="0"/>
    <n v="86"/>
    <n v="1139"/>
    <n v="1377"/>
    <x v="0"/>
  </r>
  <r>
    <n v="8253242879"/>
    <d v="2016-04-12T00:00:00"/>
    <x v="51"/>
    <n v="0"/>
    <n v="0"/>
    <n v="0"/>
    <n v="0"/>
    <n v="0"/>
    <n v="0"/>
    <n v="0"/>
    <n v="0"/>
    <n v="0"/>
    <n v="0"/>
    <n v="1440"/>
    <n v="0"/>
    <x v="0"/>
  </r>
  <r>
    <n v="8378563200"/>
    <d v="2016-04-01T00:00:00"/>
    <x v="346"/>
    <s v="11.2399997711182"/>
    <s v="11.2399997711182"/>
    <n v="0"/>
    <s v="6.23000001907349"/>
    <s v="1.05999994277954"/>
    <s v="3.96000003814697"/>
    <n v="0"/>
    <n v="73"/>
    <n v="21"/>
    <n v="195"/>
    <n v="719"/>
    <n v="3669"/>
    <x v="0"/>
  </r>
  <r>
    <n v="8378563200"/>
    <d v="2016-04-02T00:00:00"/>
    <x v="347"/>
    <s v="2.66000008583069"/>
    <s v="2.66000008583069"/>
    <n v="0"/>
    <n v="0"/>
    <n v="0"/>
    <s v="2.66000008583069"/>
    <n v="0"/>
    <n v="0"/>
    <n v="0"/>
    <n v="144"/>
    <n v="657"/>
    <n v="2702"/>
    <x v="1"/>
  </r>
  <r>
    <n v="8378563200"/>
    <d v="2016-04-03T00:00:00"/>
    <x v="348"/>
    <s v="7.26000022888184"/>
    <s v="7.26000022888184"/>
    <n v="0"/>
    <s v="1.99000000953674"/>
    <s v="0.819999992847443"/>
    <s v="4.44999980926514"/>
    <n v="0"/>
    <n v="25"/>
    <n v="13"/>
    <n v="243"/>
    <n v="600"/>
    <n v="3304"/>
    <x v="1"/>
  </r>
  <r>
    <n v="8378563200"/>
    <d v="2016-04-04T00:00:00"/>
    <x v="349"/>
    <s v="11.0500001907349"/>
    <s v="11.0500001907349"/>
    <s v="2.0921471118927"/>
    <s v="4.09000015258789"/>
    <s v="0.790000021457672"/>
    <s v="6.17000007629395"/>
    <n v="0"/>
    <n v="105"/>
    <n v="16"/>
    <n v="220"/>
    <n v="658"/>
    <n v="4234"/>
    <x v="0"/>
  </r>
  <r>
    <n v="8378563200"/>
    <d v="2016-04-05T00:00:00"/>
    <x v="350"/>
    <s v="10.1899995803833"/>
    <s v="10.1899995803833"/>
    <s v="2.25308108329773"/>
    <n v="5"/>
    <s v="0.75"/>
    <s v="4.44000005722046"/>
    <n v="0"/>
    <n v="113"/>
    <n v="15"/>
    <n v="189"/>
    <n v="686"/>
    <n v="4128"/>
    <x v="0"/>
  </r>
  <r>
    <n v="8378563200"/>
    <d v="2016-04-06T00:00:00"/>
    <x v="351"/>
    <s v="7.23999977111816"/>
    <s v="7.23999977111816"/>
    <s v="2.0921471118927"/>
    <n v="0"/>
    <s v="0.25"/>
    <s v="6.98999977111816"/>
    <n v="0"/>
    <n v="55"/>
    <n v="6"/>
    <n v="230"/>
    <n v="728"/>
    <n v="3798"/>
    <x v="0"/>
  </r>
  <r>
    <n v="8378563200"/>
    <d v="2016-04-07T00:00:00"/>
    <x v="352"/>
    <s v="7.71000003814697"/>
    <s v="7.71000003814697"/>
    <s v="2.25308108329773"/>
    <s v="2.41000008583069"/>
    <s v="0.529999971389771"/>
    <s v="4.76999998092651"/>
    <n v="0"/>
    <n v="83"/>
    <n v="11"/>
    <n v="181"/>
    <n v="670"/>
    <n v="3839"/>
    <x v="0"/>
  </r>
  <r>
    <n v="8378563200"/>
    <d v="2016-04-08T00:00:00"/>
    <x v="353"/>
    <s v="6.61999988555908"/>
    <s v="6.61999988555908"/>
    <s v="2.0921471118927"/>
    <s v="1.49000000953674"/>
    <s v="0.529999971389771"/>
    <s v="4.6100001335144"/>
    <n v="0"/>
    <n v="72"/>
    <n v="10"/>
    <n v="167"/>
    <n v="868"/>
    <n v="3713"/>
    <x v="0"/>
  </r>
  <r>
    <n v="8378563200"/>
    <d v="2016-04-09T00:00:00"/>
    <x v="354"/>
    <s v="1.77999997138977"/>
    <s v="1.77999997138977"/>
    <n v="0"/>
    <n v="0"/>
    <n v="0"/>
    <s v="1.77999997138977"/>
    <n v="0"/>
    <n v="0"/>
    <n v="0"/>
    <n v="110"/>
    <n v="843"/>
    <n v="2606"/>
    <x v="1"/>
  </r>
  <r>
    <n v="8378563200"/>
    <d v="2016-04-10T00:00:00"/>
    <x v="355"/>
    <s v="2.08999991416931"/>
    <s v="2.08999991416931"/>
    <n v="0"/>
    <n v="0"/>
    <n v="0"/>
    <s v="2.08999991416931"/>
    <n v="0"/>
    <n v="0"/>
    <n v="0"/>
    <n v="117"/>
    <n v="727"/>
    <n v="2624"/>
    <x v="1"/>
  </r>
  <r>
    <n v="8378563200"/>
    <d v="2016-04-11T00:00:00"/>
    <x v="356"/>
    <s v="7.01000022888184"/>
    <s v="7.01000022888184"/>
    <s v="2.0921471118927"/>
    <s v="1.53999996185303"/>
    <s v="0.879999995231628"/>
    <s v="4.59000015258789"/>
    <n v="0"/>
    <n v="74"/>
    <n v="17"/>
    <n v="182"/>
    <n v="811"/>
    <n v="3775"/>
    <x v="0"/>
  </r>
  <r>
    <n v="8378563200"/>
    <d v="2016-04-12T00:00:00"/>
    <x v="357"/>
    <s v="2.5699999332428"/>
    <s v="2.5699999332428"/>
    <s v="2.25308108329773"/>
    <s v="0.829999983310699"/>
    <s v="0.709999978542328"/>
    <s v="1.02999997138977"/>
    <n v="0"/>
    <n v="65"/>
    <n v="15"/>
    <n v="49"/>
    <n v="243"/>
    <n v="1882"/>
    <x v="0"/>
  </r>
  <r>
    <n v="8583815059"/>
    <d v="2016-04-01T00:00:00"/>
    <x v="358"/>
    <s v="1.70000004768372"/>
    <s v="1.70000004768372"/>
    <n v="0"/>
    <n v="0"/>
    <n v="0"/>
    <s v="1.70000004768372"/>
    <n v="0"/>
    <n v="0"/>
    <n v="0"/>
    <n v="112"/>
    <n v="1328"/>
    <n v="2360"/>
    <x v="0"/>
  </r>
  <r>
    <n v="8583815059"/>
    <d v="2016-04-02T00:00:00"/>
    <x v="359"/>
    <s v="2.73000001907349"/>
    <s v="2.73000001907349"/>
    <n v="0"/>
    <n v="0"/>
    <n v="0"/>
    <s v="2.69000005722046"/>
    <n v="0"/>
    <n v="0"/>
    <n v="0"/>
    <n v="166"/>
    <n v="1274"/>
    <n v="2517"/>
    <x v="1"/>
  </r>
  <r>
    <n v="8583815059"/>
    <d v="2016-04-03T00:00:00"/>
    <x v="360"/>
    <s v="1.86000001430511"/>
    <s v="1.86000001430511"/>
    <n v="0"/>
    <n v="0"/>
    <n v="0"/>
    <s v="1.86000001430511"/>
    <n v="0"/>
    <n v="0"/>
    <n v="0"/>
    <n v="131"/>
    <n v="1309"/>
    <n v="2400"/>
    <x v="1"/>
  </r>
  <r>
    <n v="8583815059"/>
    <d v="2016-04-04T00:00:00"/>
    <x v="361"/>
    <s v="2.46000003814697"/>
    <s v="2.46000003814697"/>
    <n v="0"/>
    <n v="0"/>
    <n v="0"/>
    <s v="2.46000003814697"/>
    <n v="0"/>
    <n v="0"/>
    <n v="0"/>
    <n v="147"/>
    <n v="1293"/>
    <n v="2462"/>
    <x v="0"/>
  </r>
  <r>
    <n v="8583815059"/>
    <d v="2016-04-05T00:00:00"/>
    <x v="362"/>
    <s v="5.32999992370605"/>
    <s v="5.32999992370605"/>
    <n v="0"/>
    <s v="0.370000004768372"/>
    <s v="0.730000019073486"/>
    <s v="4.23999977111816"/>
    <n v="0"/>
    <n v="5"/>
    <n v="15"/>
    <n v="212"/>
    <n v="1208"/>
    <n v="2786"/>
    <x v="0"/>
  </r>
  <r>
    <n v="8583815059"/>
    <d v="2016-04-06T00:00:00"/>
    <x v="100"/>
    <s v="1.63999998569489"/>
    <s v="1.63999998569489"/>
    <n v="0"/>
    <n v="0"/>
    <n v="0"/>
    <s v="1.62999999523163"/>
    <n v="0"/>
    <n v="0"/>
    <n v="0"/>
    <n v="112"/>
    <n v="1328"/>
    <n v="2354"/>
    <x v="0"/>
  </r>
  <r>
    <n v="8583815059"/>
    <d v="2016-04-07T00:00:00"/>
    <x v="363"/>
    <s v="2.20000004768372"/>
    <s v="2.20000004768372"/>
    <n v="0"/>
    <n v="0"/>
    <n v="0"/>
    <s v="2.20000004768372"/>
    <n v="0"/>
    <n v="0"/>
    <n v="0"/>
    <n v="138"/>
    <n v="1302"/>
    <n v="2437"/>
    <x v="0"/>
  </r>
  <r>
    <n v="8583815059"/>
    <d v="2016-04-08T00:00:00"/>
    <x v="364"/>
    <s v="1.10000002384186"/>
    <s v="1.10000002384186"/>
    <n v="0"/>
    <n v="0"/>
    <n v="0"/>
    <s v="1.10000002384186"/>
    <n v="0"/>
    <n v="0"/>
    <n v="0"/>
    <n v="79"/>
    <n v="1052"/>
    <n v="1814"/>
    <x v="0"/>
  </r>
  <r>
    <n v="8792009665"/>
    <d v="2016-04-01T00:00:00"/>
    <x v="365"/>
    <s v="2.94000005722046"/>
    <s v="2.94000005722046"/>
    <n v="0"/>
    <s v="0.100000001490116"/>
    <s v="0.140000000596046"/>
    <s v="2.70000004768372"/>
    <n v="0"/>
    <n v="4"/>
    <n v="8"/>
    <n v="176"/>
    <n v="748"/>
    <n v="2260"/>
    <x v="0"/>
  </r>
  <r>
    <n v="8792009665"/>
    <d v="2016-04-02T00:00:00"/>
    <x v="366"/>
    <s v="5.40999984741211"/>
    <s v="5.40999984741211"/>
    <n v="0"/>
    <s v="0.259999990463257"/>
    <s v="0.389999985694885"/>
    <s v="4.76000022888184"/>
    <n v="0"/>
    <n v="9"/>
    <n v="24"/>
    <n v="328"/>
    <n v="1079"/>
    <n v="3004"/>
    <x v="1"/>
  </r>
  <r>
    <n v="8792009665"/>
    <d v="2016-04-03T00:00:00"/>
    <x v="367"/>
    <s v="4.63000011444092"/>
    <s v="4.63000011444092"/>
    <n v="0"/>
    <s v="0.109999999403954"/>
    <s v="0.230000004172325"/>
    <s v="4.28999996185303"/>
    <n v="0"/>
    <n v="2"/>
    <n v="6"/>
    <n v="279"/>
    <n v="636"/>
    <n v="2667"/>
    <x v="1"/>
  </r>
  <r>
    <n v="8792009665"/>
    <d v="2016-04-04T00:00:00"/>
    <x v="368"/>
    <s v="2.45000004768372"/>
    <s v="2.45000004768372"/>
    <n v="0"/>
    <n v="0"/>
    <s v="0.219999998807907"/>
    <s v="2.23000001907349"/>
    <n v="0"/>
    <n v="0"/>
    <n v="9"/>
    <n v="161"/>
    <n v="675"/>
    <n v="2229"/>
    <x v="0"/>
  </r>
  <r>
    <n v="8792009665"/>
    <d v="2016-04-05T00:00:00"/>
    <x v="369"/>
    <s v="1.49000000953674"/>
    <s v="1.49000000953674"/>
    <n v="0"/>
    <s v="0.00999999977648258"/>
    <s v="0.180000007152557"/>
    <s v="1.29999995231628"/>
    <n v="0"/>
    <n v="1"/>
    <n v="10"/>
    <n v="111"/>
    <n v="904"/>
    <n v="2100"/>
    <x v="0"/>
  </r>
  <r>
    <n v="8792009665"/>
    <d v="2016-04-06T00:00:00"/>
    <x v="370"/>
    <s v="1.36000001430511"/>
    <s v="1.36000001430511"/>
    <n v="0"/>
    <n v="0"/>
    <n v="0"/>
    <s v="1.36000001430511"/>
    <n v="0"/>
    <n v="0"/>
    <n v="0"/>
    <n v="122"/>
    <n v="855"/>
    <n v="2114"/>
    <x v="0"/>
  </r>
  <r>
    <n v="8792009665"/>
    <d v="2016-04-07T00:00:00"/>
    <x v="371"/>
    <s v="0.829999983310699"/>
    <s v="0.829999983310699"/>
    <n v="0"/>
    <n v="0"/>
    <n v="0"/>
    <s v="0.829999983310699"/>
    <n v="0"/>
    <n v="0"/>
    <n v="0"/>
    <n v="77"/>
    <n v="888"/>
    <n v="1961"/>
    <x v="0"/>
  </r>
  <r>
    <n v="8792009665"/>
    <d v="2016-04-08T00:00:00"/>
    <x v="372"/>
    <s v="0.939999997615814"/>
    <s v="0.939999997615814"/>
    <n v="0"/>
    <s v="0.100000001490116"/>
    <s v="0.209999993443489"/>
    <s v="0.629999995231628"/>
    <n v="0"/>
    <n v="2"/>
    <n v="8"/>
    <n v="71"/>
    <n v="912"/>
    <n v="1953"/>
    <x v="0"/>
  </r>
  <r>
    <n v="8792009665"/>
    <d v="2016-04-09T00:00:00"/>
    <x v="373"/>
    <s v="0.649999976158142"/>
    <s v="0.649999976158142"/>
    <n v="0"/>
    <n v="0"/>
    <n v="0"/>
    <s v="0.649999976158142"/>
    <n v="0"/>
    <n v="0"/>
    <n v="0"/>
    <n v="63"/>
    <n v="739"/>
    <n v="1890"/>
    <x v="1"/>
  </r>
  <r>
    <n v="8792009665"/>
    <d v="2016-04-10T00:00:00"/>
    <x v="374"/>
    <s v="2.95000004768372"/>
    <s v="2.95000004768372"/>
    <n v="0"/>
    <n v="0"/>
    <n v="0"/>
    <s v="2.95000004768372"/>
    <n v="0"/>
    <n v="0"/>
    <n v="0"/>
    <n v="179"/>
    <n v="1261"/>
    <n v="2253"/>
    <x v="1"/>
  </r>
  <r>
    <n v="8792009665"/>
    <d v="2016-04-11T00:00:00"/>
    <x v="375"/>
    <s v="0.109999999403954"/>
    <s v="0.109999999403954"/>
    <n v="0"/>
    <n v="0"/>
    <n v="0"/>
    <s v="0.109999999403954"/>
    <n v="0"/>
    <n v="0"/>
    <n v="0"/>
    <n v="12"/>
    <n v="1428"/>
    <n v="1725"/>
    <x v="0"/>
  </r>
  <r>
    <n v="8792009665"/>
    <d v="2016-04-12T00:00:00"/>
    <x v="376"/>
    <s v="0.00999999977648258"/>
    <s v="0.00999999977648258"/>
    <n v="0"/>
    <n v="0"/>
    <n v="0"/>
    <s v="0.00999999977648258"/>
    <n v="0"/>
    <n v="0"/>
    <n v="0"/>
    <n v="6"/>
    <n v="598"/>
    <n v="728"/>
    <x v="0"/>
  </r>
  <r>
    <n v="8877689391"/>
    <d v="2016-04-01T00:00:00"/>
    <x v="377"/>
    <s v="15.8199996948242"/>
    <s v="15.8199996948242"/>
    <n v="0"/>
    <s v="8.69999980926514"/>
    <s v="0.159999996423721"/>
    <s v="6.90999984741211"/>
    <n v="0"/>
    <n v="67"/>
    <n v="3"/>
    <n v="247"/>
    <n v="1123"/>
    <n v="3527"/>
    <x v="0"/>
  </r>
  <r>
    <n v="8877689391"/>
    <d v="2016-04-02T00:00:00"/>
    <x v="378"/>
    <s v="23.3899993896484"/>
    <s v="23.3899993896484"/>
    <n v="0"/>
    <s v="14.7200002670288"/>
    <s v="1.21000003814697"/>
    <s v="7.34000015258789"/>
    <s v="0.00999999977648258"/>
    <n v="116"/>
    <n v="24"/>
    <n v="260"/>
    <n v="1040"/>
    <n v="4220"/>
    <x v="1"/>
  </r>
  <r>
    <n v="8877689391"/>
    <d v="2016-04-03T00:00:00"/>
    <x v="379"/>
    <s v="8.1899995803833"/>
    <s v="8.1899995803833"/>
    <n v="0"/>
    <s v="1.79999995231628"/>
    <s v="0.75"/>
    <s v="5.57000017166138"/>
    <n v="0"/>
    <n v="106"/>
    <n v="17"/>
    <n v="259"/>
    <n v="1058"/>
    <n v="3864"/>
    <x v="1"/>
  </r>
  <r>
    <n v="8877689391"/>
    <d v="2016-04-04T00:00:00"/>
    <x v="380"/>
    <s v="18.4099998474121"/>
    <s v="18.4099998474121"/>
    <n v="0"/>
    <s v="11.7299995422363"/>
    <s v="0.649999976158142"/>
    <n v="6"/>
    <n v="0"/>
    <n v="78"/>
    <n v="16"/>
    <n v="208"/>
    <n v="1138"/>
    <n v="3662"/>
    <x v="0"/>
  </r>
  <r>
    <n v="8877689391"/>
    <d v="2016-04-05T00:00:00"/>
    <x v="381"/>
    <s v="8.11999988555908"/>
    <s v="8.11999988555908"/>
    <n v="0"/>
    <s v="0.769999980926514"/>
    <s v="0.180000007152557"/>
    <s v="7.09000015258789"/>
    <s v="0.00999999977648258"/>
    <n v="10"/>
    <n v="3"/>
    <n v="246"/>
    <n v="1181"/>
    <n v="2834"/>
    <x v="0"/>
  </r>
  <r>
    <n v="8877689391"/>
    <d v="2016-04-06T00:00:00"/>
    <x v="382"/>
    <s v="20.9099998474121"/>
    <s v="20.9099998474121"/>
    <n v="0"/>
    <s v="12.2200002670288"/>
    <s v="0.540000021457672"/>
    <s v="8.07999992370605"/>
    <n v="0"/>
    <n v="87"/>
    <n v="16"/>
    <n v="318"/>
    <n v="1019"/>
    <n v="4039"/>
    <x v="0"/>
  </r>
  <r>
    <n v="8877689391"/>
    <d v="2016-04-07T00:00:00"/>
    <x v="383"/>
    <s v="8.42000007629395"/>
    <s v="8.42000007629395"/>
    <n v="0"/>
    <s v="2.96000003814697"/>
    <s v="0.389999985694885"/>
    <s v="5.03000020980835"/>
    <n v="0"/>
    <n v="32"/>
    <n v="11"/>
    <n v="212"/>
    <n v="1185"/>
    <n v="2947"/>
    <x v="0"/>
  </r>
  <r>
    <n v="8877689391"/>
    <d v="2016-04-08T00:00:00"/>
    <x v="384"/>
    <s v="20.3899993896484"/>
    <s v="20.3899993896484"/>
    <n v="0"/>
    <s v="11.1000003814697"/>
    <s v="0.629999995231628"/>
    <s v="8.61999988555908"/>
    <n v="0"/>
    <n v="70"/>
    <n v="29"/>
    <n v="359"/>
    <n v="982"/>
    <n v="4196"/>
    <x v="0"/>
  </r>
  <r>
    <n v="8877689391"/>
    <d v="2016-04-09T00:00:00"/>
    <x v="385"/>
    <s v="8.06999969482422"/>
    <s v="8.06999969482422"/>
    <n v="0"/>
    <n v="0"/>
    <s v="0.0199999995529652"/>
    <s v="8.02000045776367"/>
    <n v="0"/>
    <n v="90"/>
    <n v="9"/>
    <n v="289"/>
    <n v="1052"/>
    <n v="3841"/>
    <x v="1"/>
  </r>
  <r>
    <n v="8877689391"/>
    <d v="2016-04-10T00:00:00"/>
    <x v="386"/>
    <s v="27.5300006866455"/>
    <s v="27.5300006866455"/>
    <n v="0"/>
    <s v="21.9200000762939"/>
    <s v="1.12000000476837"/>
    <s v="4.46000003814697"/>
    <n v="0"/>
    <n v="128"/>
    <n v="46"/>
    <n v="211"/>
    <n v="1055"/>
    <n v="4526"/>
    <x v="1"/>
  </r>
  <r>
    <n v="8877689391"/>
    <d v="2016-04-11T00:00:00"/>
    <x v="387"/>
    <s v="8.0600004196167"/>
    <s v="8.0600004196167"/>
    <n v="0"/>
    <s v="1.47000002861023"/>
    <s v="0.150000005960464"/>
    <s v="6.36999988555908"/>
    <s v="0.00999999977648258"/>
    <n v="18"/>
    <n v="7"/>
    <n v="225"/>
    <n v="1190"/>
    <n v="2820"/>
    <x v="0"/>
  </r>
  <r>
    <n v="8877689391"/>
    <d v="2016-04-12T00:00:00"/>
    <x v="388"/>
    <s v="1.77999997138977"/>
    <s v="1.77999997138977"/>
    <n v="0"/>
    <n v="0"/>
    <n v="0"/>
    <s v="1.77999997138977"/>
    <n v="0"/>
    <n v="0"/>
    <n v="0"/>
    <n v="58"/>
    <n v="531"/>
    <n v="93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Зведена таблиця1" cacheId="0" applyNumberFormats="0" applyBorderFormats="0" applyFontFormats="0" applyPatternFormats="0" applyAlignmentFormats="0" applyWidthHeightFormats="1" dataCaption="Значення" grandTotalCaption="Total" updatedVersion="7" minRefreshableVersion="3" useAutoFormatting="1" itemPrintTitles="1" createdVersion="7" indent="0" outline="1" outlineData="1" multipleFieldFilters="0" rowHeaderCaption="Rows">
  <location ref="A3:B6" firstHeaderRow="1" firstDataRow="1" firstDataCol="1"/>
  <pivotFields count="16">
    <pivotField showAll="0"/>
    <pivotField numFmtId="14" showAll="0"/>
    <pivotField dataField="1" showAll="0">
      <items count="390">
        <item x="51"/>
        <item x="193"/>
        <item x="52"/>
        <item x="181"/>
        <item x="290"/>
        <item x="192"/>
        <item x="376"/>
        <item x="68"/>
        <item x="185"/>
        <item x="318"/>
        <item x="282"/>
        <item x="375"/>
        <item x="198"/>
        <item x="18"/>
        <item x="223"/>
        <item x="339"/>
        <item x="156"/>
        <item x="328"/>
        <item x="64"/>
        <item x="326"/>
        <item x="149"/>
        <item x="63"/>
        <item x="20"/>
        <item x="115"/>
        <item x="184"/>
        <item x="31"/>
        <item x="92"/>
        <item x="373"/>
        <item x="32"/>
        <item x="67"/>
        <item x="82"/>
        <item x="62"/>
        <item x="234"/>
        <item x="371"/>
        <item x="47"/>
        <item x="30"/>
        <item x="364"/>
        <item x="372"/>
        <item x="251"/>
        <item x="23"/>
        <item x="27"/>
        <item x="285"/>
        <item x="345"/>
        <item x="195"/>
        <item x="24"/>
        <item x="19"/>
        <item x="95"/>
        <item x="22"/>
        <item x="340"/>
        <item x="319"/>
        <item x="162"/>
        <item x="21"/>
        <item x="284"/>
        <item x="127"/>
        <item x="100"/>
        <item x="280"/>
        <item x="66"/>
        <item x="166"/>
        <item x="370"/>
        <item x="183"/>
        <item x="358"/>
        <item x="116"/>
        <item x="61"/>
        <item x="354"/>
        <item x="189"/>
        <item x="98"/>
        <item x="210"/>
        <item x="83"/>
        <item x="369"/>
        <item x="388"/>
        <item x="60"/>
        <item x="360"/>
        <item x="216"/>
        <item x="65"/>
        <item x="344"/>
        <item x="211"/>
        <item x="81"/>
        <item x="355"/>
        <item x="186"/>
        <item x="87"/>
        <item x="363"/>
        <item x="41"/>
        <item x="50"/>
        <item x="270"/>
        <item x="28"/>
        <item x="250"/>
        <item x="180"/>
        <item x="152"/>
        <item x="89"/>
        <item x="148"/>
        <item x="215"/>
        <item x="361"/>
        <item x="86"/>
        <item x="225"/>
        <item x="59"/>
        <item x="151"/>
        <item x="357"/>
        <item x="213"/>
        <item x="91"/>
        <item x="347"/>
        <item x="96"/>
        <item x="196"/>
        <item x="260"/>
        <item x="359"/>
        <item x="34"/>
        <item x="147"/>
        <item x="88"/>
        <item x="368"/>
        <item x="35"/>
        <item x="126"/>
        <item x="289"/>
        <item x="167"/>
        <item x="220"/>
        <item x="217"/>
        <item x="171"/>
        <item x="57"/>
        <item x="267"/>
        <item x="164"/>
        <item x="132"/>
        <item x="138"/>
        <item x="25"/>
        <item x="365"/>
        <item x="257"/>
        <item x="374"/>
        <item x="38"/>
        <item x="137"/>
        <item x="130"/>
        <item x="212"/>
        <item x="275"/>
        <item x="97"/>
        <item x="93"/>
        <item x="54"/>
        <item x="179"/>
        <item x="190"/>
        <item x="90"/>
        <item x="341"/>
        <item x="124"/>
        <item x="53"/>
        <item x="224"/>
        <item x="170"/>
        <item x="343"/>
        <item x="49"/>
        <item x="168"/>
        <item x="214"/>
        <item x="191"/>
        <item x="56"/>
        <item x="70"/>
        <item x="231"/>
        <item x="150"/>
        <item x="135"/>
        <item x="187"/>
        <item x="163"/>
        <item x="258"/>
        <item x="199"/>
        <item x="85"/>
        <item x="58"/>
        <item x="229"/>
        <item x="157"/>
        <item x="128"/>
        <item x="131"/>
        <item x="304"/>
        <item x="153"/>
        <item x="222"/>
        <item x="320"/>
        <item x="172"/>
        <item x="226"/>
        <item x="327"/>
        <item x="232"/>
        <item x="161"/>
        <item x="33"/>
        <item x="133"/>
        <item x="173"/>
        <item x="248"/>
        <item x="235"/>
        <item x="209"/>
        <item x="55"/>
        <item x="176"/>
        <item x="244"/>
        <item x="221"/>
        <item x="37"/>
        <item x="278"/>
        <item x="160"/>
        <item x="219"/>
        <item x="242"/>
        <item x="84"/>
        <item x="80"/>
        <item x="103"/>
        <item x="228"/>
        <item x="197"/>
        <item x="362"/>
        <item x="48"/>
        <item x="174"/>
        <item x="218"/>
        <item x="237"/>
        <item x="94"/>
        <item x="165"/>
        <item x="122"/>
        <item x="238"/>
        <item x="283"/>
        <item x="367"/>
        <item x="188"/>
        <item x="325"/>
        <item x="120"/>
        <item x="322"/>
        <item x="134"/>
        <item x="264"/>
        <item x="316"/>
        <item x="169"/>
        <item x="271"/>
        <item x="175"/>
        <item x="321"/>
        <item x="106"/>
        <item x="125"/>
        <item x="236"/>
        <item x="243"/>
        <item x="139"/>
        <item x="129"/>
        <item x="117"/>
        <item x="178"/>
        <item x="241"/>
        <item x="45"/>
        <item x="230"/>
        <item x="43"/>
        <item x="201"/>
        <item x="245"/>
        <item x="227"/>
        <item x="204"/>
        <item x="104"/>
        <item x="353"/>
        <item x="206"/>
        <item x="203"/>
        <item x="144"/>
        <item x="194"/>
        <item x="119"/>
        <item x="182"/>
        <item x="366"/>
        <item x="273"/>
        <item x="159"/>
        <item x="136"/>
        <item x="233"/>
        <item x="356"/>
        <item x="252"/>
        <item x="155"/>
        <item x="276"/>
        <item x="265"/>
        <item x="200"/>
        <item x="351"/>
        <item x="208"/>
        <item x="348"/>
        <item x="26"/>
        <item x="202"/>
        <item x="286"/>
        <item x="121"/>
        <item x="279"/>
        <item x="324"/>
        <item x="118"/>
        <item x="352"/>
        <item x="281"/>
        <item x="269"/>
        <item x="274"/>
        <item x="263"/>
        <item x="42"/>
        <item x="256"/>
        <item x="36"/>
        <item x="114"/>
        <item x="78"/>
        <item x="9"/>
        <item x="16"/>
        <item x="205"/>
        <item x="113"/>
        <item x="79"/>
        <item x="108"/>
        <item x="337"/>
        <item x="314"/>
        <item x="302"/>
        <item x="13"/>
        <item x="111"/>
        <item x="145"/>
        <item x="107"/>
        <item x="101"/>
        <item x="110"/>
        <item x="239"/>
        <item x="158"/>
        <item x="313"/>
        <item x="261"/>
        <item x="293"/>
        <item x="177"/>
        <item x="268"/>
        <item x="102"/>
        <item x="387"/>
        <item x="381"/>
        <item x="277"/>
        <item x="73"/>
        <item x="383"/>
        <item x="207"/>
        <item x="5"/>
        <item x="306"/>
        <item x="17"/>
        <item x="0"/>
        <item x="266"/>
        <item x="109"/>
        <item x="247"/>
        <item x="71"/>
        <item x="336"/>
        <item x="44"/>
        <item x="99"/>
        <item x="8"/>
        <item x="253"/>
        <item x="317"/>
        <item x="140"/>
        <item x="305"/>
        <item x="335"/>
        <item x="287"/>
        <item x="259"/>
        <item x="141"/>
        <item x="12"/>
        <item x="297"/>
        <item x="342"/>
        <item x="4"/>
        <item x="309"/>
        <item x="240"/>
        <item x="315"/>
        <item x="254"/>
        <item x="6"/>
        <item x="7"/>
        <item x="142"/>
        <item x="295"/>
        <item x="303"/>
        <item x="249"/>
        <item x="15"/>
        <item x="294"/>
        <item x="298"/>
        <item x="154"/>
        <item x="301"/>
        <item x="14"/>
        <item x="312"/>
        <item x="2"/>
        <item x="350"/>
        <item x="40"/>
        <item x="76"/>
        <item x="3"/>
        <item x="299"/>
        <item x="310"/>
        <item x="69"/>
        <item x="46"/>
        <item x="349"/>
        <item x="288"/>
        <item x="246"/>
        <item x="292"/>
        <item x="311"/>
        <item x="123"/>
        <item x="346"/>
        <item x="300"/>
        <item x="10"/>
        <item x="146"/>
        <item x="323"/>
        <item x="11"/>
        <item x="262"/>
        <item x="379"/>
        <item x="308"/>
        <item x="72"/>
        <item x="74"/>
        <item x="143"/>
        <item x="255"/>
        <item x="105"/>
        <item x="291"/>
        <item x="338"/>
        <item x="112"/>
        <item x="77"/>
        <item x="333"/>
        <item x="385"/>
        <item x="307"/>
        <item x="334"/>
        <item x="332"/>
        <item x="331"/>
        <item x="1"/>
        <item x="75"/>
        <item x="29"/>
        <item x="377"/>
        <item x="296"/>
        <item x="272"/>
        <item x="329"/>
        <item x="39"/>
        <item x="380"/>
        <item x="384"/>
        <item x="382"/>
        <item x="330"/>
        <item x="378"/>
        <item x="3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AVG TotalSteps" fld="2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6"/>
  <sheetViews>
    <sheetView tabSelected="1" workbookViewId="0">
      <selection activeCell="C14" sqref="C14"/>
    </sheetView>
  </sheetViews>
  <sheetFormatPr defaultRowHeight="14.4" x14ac:dyDescent="0.3"/>
  <cols>
    <col min="1" max="1" width="18.77734375" bestFit="1" customWidth="1"/>
    <col min="2" max="2" width="14" bestFit="1" customWidth="1"/>
  </cols>
  <sheetData>
    <row r="3" spans="1:2" x14ac:dyDescent="0.3">
      <c r="A3" s="4" t="s">
        <v>638</v>
      </c>
      <c r="B3" t="s">
        <v>637</v>
      </c>
    </row>
    <row r="4" spans="1:2" x14ac:dyDescent="0.3">
      <c r="A4" s="5" t="s">
        <v>635</v>
      </c>
      <c r="B4" s="6">
        <v>6528.6096774193547</v>
      </c>
    </row>
    <row r="5" spans="1:2" x14ac:dyDescent="0.3">
      <c r="A5" s="5" t="s">
        <v>636</v>
      </c>
      <c r="B5" s="6">
        <v>6584.4217687074834</v>
      </c>
    </row>
    <row r="6" spans="1:2" x14ac:dyDescent="0.3">
      <c r="A6" s="5" t="s">
        <v>639</v>
      </c>
      <c r="B6" s="6">
        <v>6546.5623632385123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P458"/>
  <sheetViews>
    <sheetView workbookViewId="0">
      <selection activeCell="O1" activeCellId="1" sqref="C1:C1048576 O1:O1048576"/>
    </sheetView>
  </sheetViews>
  <sheetFormatPr defaultRowHeight="14.4" x14ac:dyDescent="0.3"/>
  <cols>
    <col min="1" max="1" width="11" bestFit="1" customWidth="1"/>
    <col min="2" max="2" width="10.88671875" bestFit="1" customWidth="1"/>
    <col min="3" max="3" width="11.77734375" bestFit="1" customWidth="1"/>
    <col min="5" max="5" width="19.77734375" bestFit="1" customWidth="1"/>
    <col min="6" max="6" width="21.44140625" bestFit="1" customWidth="1"/>
    <col min="7" max="7" width="19.77734375" bestFit="1" customWidth="1"/>
    <col min="8" max="8" width="22.77734375" bestFit="1" customWidth="1"/>
    <col min="9" max="9" width="19.77734375" bestFit="1" customWidth="1"/>
    <col min="10" max="10" width="21.44140625" bestFit="1" customWidth="1"/>
    <col min="11" max="11" width="16.33203125" bestFit="1" customWidth="1"/>
    <col min="12" max="12" width="17" bestFit="1" customWidth="1"/>
    <col min="13" max="13" width="18" bestFit="1" customWidth="1"/>
    <col min="14" max="14" width="15.77734375" bestFit="1" customWidth="1"/>
    <col min="16" max="16" width="11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634</v>
      </c>
    </row>
    <row r="2" spans="1:16" x14ac:dyDescent="0.3">
      <c r="A2">
        <v>1503960366</v>
      </c>
      <c r="B2" s="1">
        <v>42454</v>
      </c>
      <c r="C2">
        <v>11004</v>
      </c>
      <c r="D2" t="s">
        <v>15</v>
      </c>
      <c r="E2" t="s">
        <v>15</v>
      </c>
      <c r="F2">
        <v>0</v>
      </c>
      <c r="G2" t="s">
        <v>16</v>
      </c>
      <c r="H2" t="s">
        <v>17</v>
      </c>
      <c r="I2" t="s">
        <v>18</v>
      </c>
      <c r="J2">
        <v>0</v>
      </c>
      <c r="K2">
        <v>33</v>
      </c>
      <c r="L2">
        <v>12</v>
      </c>
      <c r="M2">
        <v>205</v>
      </c>
      <c r="N2">
        <v>804</v>
      </c>
      <c r="O2">
        <v>1819</v>
      </c>
      <c r="P2" t="str">
        <f>IF(OR(WEEKDAY(B2,2)=6, WEEKDAY(B2,2)=7),"Weekend","Weekday")</f>
        <v>Weekday</v>
      </c>
    </row>
    <row r="3" spans="1:16" x14ac:dyDescent="0.3">
      <c r="A3">
        <v>1503960366</v>
      </c>
      <c r="B3" s="1">
        <v>42455</v>
      </c>
      <c r="C3">
        <v>17609</v>
      </c>
      <c r="D3" t="s">
        <v>19</v>
      </c>
      <c r="E3" t="s">
        <v>19</v>
      </c>
      <c r="F3">
        <v>0</v>
      </c>
      <c r="G3" t="s">
        <v>20</v>
      </c>
      <c r="H3" t="s">
        <v>21</v>
      </c>
      <c r="I3" t="s">
        <v>22</v>
      </c>
      <c r="J3">
        <v>0</v>
      </c>
      <c r="K3">
        <v>89</v>
      </c>
      <c r="L3">
        <v>17</v>
      </c>
      <c r="M3">
        <v>274</v>
      </c>
      <c r="N3">
        <v>588</v>
      </c>
      <c r="O3">
        <v>2154</v>
      </c>
      <c r="P3" t="str">
        <f t="shared" ref="P3:P66" si="0">IF(OR(WEEKDAY(B3,2)=6, WEEKDAY(B3,2)=7),"Weekend","Weekday")</f>
        <v>Weekend</v>
      </c>
    </row>
    <row r="4" spans="1:16" x14ac:dyDescent="0.3">
      <c r="A4">
        <v>1503960366</v>
      </c>
      <c r="B4" s="1">
        <v>42456</v>
      </c>
      <c r="C4">
        <v>12736</v>
      </c>
      <c r="D4" t="s">
        <v>23</v>
      </c>
      <c r="E4" t="s">
        <v>23</v>
      </c>
      <c r="F4">
        <v>0</v>
      </c>
      <c r="G4" t="s">
        <v>24</v>
      </c>
      <c r="H4" t="s">
        <v>25</v>
      </c>
      <c r="I4" t="s">
        <v>26</v>
      </c>
      <c r="J4">
        <v>0</v>
      </c>
      <c r="K4">
        <v>56</v>
      </c>
      <c r="L4">
        <v>5</v>
      </c>
      <c r="M4">
        <v>268</v>
      </c>
      <c r="N4">
        <v>605</v>
      </c>
      <c r="O4">
        <v>1944</v>
      </c>
      <c r="P4" t="str">
        <f t="shared" si="0"/>
        <v>Weekend</v>
      </c>
    </row>
    <row r="5" spans="1:16" x14ac:dyDescent="0.3">
      <c r="A5">
        <v>1503960366</v>
      </c>
      <c r="B5" s="1">
        <v>42457</v>
      </c>
      <c r="C5">
        <v>13231</v>
      </c>
      <c r="D5" t="s">
        <v>27</v>
      </c>
      <c r="E5" t="s">
        <v>27</v>
      </c>
      <c r="F5">
        <v>0</v>
      </c>
      <c r="G5" t="s">
        <v>28</v>
      </c>
      <c r="H5" t="s">
        <v>29</v>
      </c>
      <c r="I5" t="s">
        <v>30</v>
      </c>
      <c r="J5">
        <v>0</v>
      </c>
      <c r="K5">
        <v>39</v>
      </c>
      <c r="L5">
        <v>20</v>
      </c>
      <c r="M5">
        <v>224</v>
      </c>
      <c r="N5">
        <v>1080</v>
      </c>
      <c r="O5">
        <v>1932</v>
      </c>
      <c r="P5" t="str">
        <f t="shared" si="0"/>
        <v>Weekday</v>
      </c>
    </row>
    <row r="6" spans="1:16" x14ac:dyDescent="0.3">
      <c r="A6">
        <v>1503960366</v>
      </c>
      <c r="B6" s="1">
        <v>42458</v>
      </c>
      <c r="C6">
        <v>12041</v>
      </c>
      <c r="D6" t="s">
        <v>31</v>
      </c>
      <c r="E6" t="s">
        <v>31</v>
      </c>
      <c r="F6">
        <v>0</v>
      </c>
      <c r="G6" t="s">
        <v>32</v>
      </c>
      <c r="H6" t="s">
        <v>33</v>
      </c>
      <c r="I6" t="s">
        <v>34</v>
      </c>
      <c r="J6">
        <v>0</v>
      </c>
      <c r="K6">
        <v>28</v>
      </c>
      <c r="L6">
        <v>28</v>
      </c>
      <c r="M6">
        <v>243</v>
      </c>
      <c r="N6">
        <v>763</v>
      </c>
      <c r="O6">
        <v>1886</v>
      </c>
      <c r="P6" t="str">
        <f t="shared" si="0"/>
        <v>Weekday</v>
      </c>
    </row>
    <row r="7" spans="1:16" x14ac:dyDescent="0.3">
      <c r="A7">
        <v>1503960366</v>
      </c>
      <c r="B7" s="1">
        <v>42459</v>
      </c>
      <c r="C7">
        <v>10970</v>
      </c>
      <c r="D7" t="s">
        <v>35</v>
      </c>
      <c r="E7" t="s">
        <v>35</v>
      </c>
      <c r="F7">
        <v>0</v>
      </c>
      <c r="G7" t="s">
        <v>36</v>
      </c>
      <c r="H7" t="s">
        <v>37</v>
      </c>
      <c r="I7" t="s">
        <v>38</v>
      </c>
      <c r="J7">
        <v>0</v>
      </c>
      <c r="K7">
        <v>30</v>
      </c>
      <c r="L7">
        <v>13</v>
      </c>
      <c r="M7">
        <v>223</v>
      </c>
      <c r="N7">
        <v>1174</v>
      </c>
      <c r="O7">
        <v>1820</v>
      </c>
      <c r="P7" t="str">
        <f t="shared" si="0"/>
        <v>Weekday</v>
      </c>
    </row>
    <row r="8" spans="1:16" x14ac:dyDescent="0.3">
      <c r="A8">
        <v>1503960366</v>
      </c>
      <c r="B8" s="1">
        <v>42460</v>
      </c>
      <c r="C8">
        <v>12256</v>
      </c>
      <c r="D8" t="s">
        <v>39</v>
      </c>
      <c r="E8" t="s">
        <v>39</v>
      </c>
      <c r="F8">
        <v>0</v>
      </c>
      <c r="G8" t="s">
        <v>40</v>
      </c>
      <c r="H8" t="s">
        <v>41</v>
      </c>
      <c r="I8" t="s">
        <v>42</v>
      </c>
      <c r="J8">
        <v>0</v>
      </c>
      <c r="K8">
        <v>33</v>
      </c>
      <c r="L8">
        <v>12</v>
      </c>
      <c r="M8">
        <v>239</v>
      </c>
      <c r="N8">
        <v>820</v>
      </c>
      <c r="O8">
        <v>1889</v>
      </c>
      <c r="P8" t="str">
        <f t="shared" si="0"/>
        <v>Weekday</v>
      </c>
    </row>
    <row r="9" spans="1:16" x14ac:dyDescent="0.3">
      <c r="A9">
        <v>1503960366</v>
      </c>
      <c r="B9" s="1">
        <v>42461</v>
      </c>
      <c r="C9">
        <v>12262</v>
      </c>
      <c r="D9" t="s">
        <v>43</v>
      </c>
      <c r="E9" t="s">
        <v>43</v>
      </c>
      <c r="F9">
        <v>0</v>
      </c>
      <c r="G9" t="s">
        <v>44</v>
      </c>
      <c r="H9" t="s">
        <v>45</v>
      </c>
      <c r="I9" t="s">
        <v>46</v>
      </c>
      <c r="J9">
        <v>0</v>
      </c>
      <c r="K9">
        <v>47</v>
      </c>
      <c r="L9">
        <v>21</v>
      </c>
      <c r="M9">
        <v>200</v>
      </c>
      <c r="N9">
        <v>866</v>
      </c>
      <c r="O9">
        <v>1868</v>
      </c>
      <c r="P9" t="str">
        <f t="shared" si="0"/>
        <v>Weekday</v>
      </c>
    </row>
    <row r="10" spans="1:16" x14ac:dyDescent="0.3">
      <c r="A10">
        <v>1503960366</v>
      </c>
      <c r="B10" s="1">
        <v>42462</v>
      </c>
      <c r="C10">
        <v>11248</v>
      </c>
      <c r="D10" s="2">
        <v>45839</v>
      </c>
      <c r="E10" s="2">
        <v>45839</v>
      </c>
      <c r="F10">
        <v>0</v>
      </c>
      <c r="G10">
        <v>3</v>
      </c>
      <c r="H10" t="s">
        <v>47</v>
      </c>
      <c r="I10" t="s">
        <v>48</v>
      </c>
      <c r="J10">
        <v>0</v>
      </c>
      <c r="K10">
        <v>40</v>
      </c>
      <c r="L10">
        <v>11</v>
      </c>
      <c r="M10">
        <v>244</v>
      </c>
      <c r="N10">
        <v>636</v>
      </c>
      <c r="O10">
        <v>1843</v>
      </c>
      <c r="P10" t="str">
        <f t="shared" si="0"/>
        <v>Weekend</v>
      </c>
    </row>
    <row r="11" spans="1:16" x14ac:dyDescent="0.3">
      <c r="A11">
        <v>1503960366</v>
      </c>
      <c r="B11" s="1">
        <v>42463</v>
      </c>
      <c r="C11">
        <v>10016</v>
      </c>
      <c r="D11" t="s">
        <v>49</v>
      </c>
      <c r="E11" t="s">
        <v>49</v>
      </c>
      <c r="F11">
        <v>0</v>
      </c>
      <c r="G11" t="s">
        <v>50</v>
      </c>
      <c r="H11" t="s">
        <v>51</v>
      </c>
      <c r="I11" t="s">
        <v>52</v>
      </c>
      <c r="J11">
        <v>0</v>
      </c>
      <c r="K11">
        <v>15</v>
      </c>
      <c r="L11">
        <v>30</v>
      </c>
      <c r="M11">
        <v>314</v>
      </c>
      <c r="N11">
        <v>655</v>
      </c>
      <c r="O11">
        <v>1850</v>
      </c>
      <c r="P11" t="str">
        <f t="shared" si="0"/>
        <v>Weekend</v>
      </c>
    </row>
    <row r="12" spans="1:16" x14ac:dyDescent="0.3">
      <c r="A12">
        <v>1503960366</v>
      </c>
      <c r="B12" s="1">
        <v>42464</v>
      </c>
      <c r="C12">
        <v>14557</v>
      </c>
      <c r="D12" t="s">
        <v>53</v>
      </c>
      <c r="E12" t="s">
        <v>53</v>
      </c>
      <c r="F12">
        <v>0</v>
      </c>
      <c r="G12" t="s">
        <v>54</v>
      </c>
      <c r="H12" t="s">
        <v>55</v>
      </c>
      <c r="I12" t="s">
        <v>56</v>
      </c>
      <c r="J12">
        <v>0</v>
      </c>
      <c r="K12">
        <v>43</v>
      </c>
      <c r="L12">
        <v>18</v>
      </c>
      <c r="M12">
        <v>285</v>
      </c>
      <c r="N12">
        <v>757</v>
      </c>
      <c r="O12">
        <v>2030</v>
      </c>
      <c r="P12" t="str">
        <f t="shared" si="0"/>
        <v>Weekday</v>
      </c>
    </row>
    <row r="13" spans="1:16" x14ac:dyDescent="0.3">
      <c r="A13">
        <v>1503960366</v>
      </c>
      <c r="B13" s="1">
        <v>42465</v>
      </c>
      <c r="C13">
        <v>14844</v>
      </c>
      <c r="D13" t="s">
        <v>57</v>
      </c>
      <c r="E13" t="s">
        <v>57</v>
      </c>
      <c r="F13">
        <v>0</v>
      </c>
      <c r="G13" t="s">
        <v>58</v>
      </c>
      <c r="H13" t="s">
        <v>59</v>
      </c>
      <c r="I13" t="s">
        <v>60</v>
      </c>
      <c r="J13">
        <v>0</v>
      </c>
      <c r="K13">
        <v>36</v>
      </c>
      <c r="L13">
        <v>18</v>
      </c>
      <c r="M13">
        <v>341</v>
      </c>
      <c r="N13">
        <v>736</v>
      </c>
      <c r="O13">
        <v>2083</v>
      </c>
      <c r="P13" t="str">
        <f t="shared" si="0"/>
        <v>Weekday</v>
      </c>
    </row>
    <row r="14" spans="1:16" x14ac:dyDescent="0.3">
      <c r="A14">
        <v>1503960366</v>
      </c>
      <c r="B14" s="1">
        <v>42466</v>
      </c>
      <c r="C14">
        <v>11974</v>
      </c>
      <c r="D14" t="s">
        <v>61</v>
      </c>
      <c r="E14" t="s">
        <v>61</v>
      </c>
      <c r="F14">
        <v>0</v>
      </c>
      <c r="G14" t="s">
        <v>62</v>
      </c>
      <c r="H14" t="s">
        <v>63</v>
      </c>
      <c r="I14" t="s">
        <v>64</v>
      </c>
      <c r="J14">
        <v>0</v>
      </c>
      <c r="K14">
        <v>27</v>
      </c>
      <c r="L14">
        <v>12</v>
      </c>
      <c r="M14">
        <v>228</v>
      </c>
      <c r="N14">
        <v>1173</v>
      </c>
      <c r="O14">
        <v>1861</v>
      </c>
      <c r="P14" t="str">
        <f t="shared" si="0"/>
        <v>Weekday</v>
      </c>
    </row>
    <row r="15" spans="1:16" x14ac:dyDescent="0.3">
      <c r="A15">
        <v>1503960366</v>
      </c>
      <c r="B15" s="1">
        <v>42467</v>
      </c>
      <c r="C15">
        <v>10198</v>
      </c>
      <c r="D15" t="s">
        <v>65</v>
      </c>
      <c r="E15" t="s">
        <v>65</v>
      </c>
      <c r="F15">
        <v>0</v>
      </c>
      <c r="G15" t="s">
        <v>66</v>
      </c>
      <c r="H15" t="s">
        <v>29</v>
      </c>
      <c r="I15" t="s">
        <v>67</v>
      </c>
      <c r="J15">
        <v>0</v>
      </c>
      <c r="K15">
        <v>17</v>
      </c>
      <c r="L15">
        <v>20</v>
      </c>
      <c r="M15">
        <v>195</v>
      </c>
      <c r="N15">
        <v>1208</v>
      </c>
      <c r="O15">
        <v>1755</v>
      </c>
      <c r="P15" t="str">
        <f t="shared" si="0"/>
        <v>Weekday</v>
      </c>
    </row>
    <row r="16" spans="1:16" x14ac:dyDescent="0.3">
      <c r="A16">
        <v>1503960366</v>
      </c>
      <c r="B16" s="1">
        <v>42468</v>
      </c>
      <c r="C16">
        <v>12521</v>
      </c>
      <c r="D16" t="s">
        <v>68</v>
      </c>
      <c r="E16" t="s">
        <v>68</v>
      </c>
      <c r="F16">
        <v>0</v>
      </c>
      <c r="G16" t="s">
        <v>69</v>
      </c>
      <c r="H16" t="s">
        <v>70</v>
      </c>
      <c r="I16" t="s">
        <v>48</v>
      </c>
      <c r="J16">
        <v>0</v>
      </c>
      <c r="K16">
        <v>46</v>
      </c>
      <c r="L16">
        <v>22</v>
      </c>
      <c r="M16">
        <v>212</v>
      </c>
      <c r="N16">
        <v>1160</v>
      </c>
      <c r="O16">
        <v>1895</v>
      </c>
      <c r="P16" t="str">
        <f t="shared" si="0"/>
        <v>Weekday</v>
      </c>
    </row>
    <row r="17" spans="1:16" x14ac:dyDescent="0.3">
      <c r="A17">
        <v>1503960366</v>
      </c>
      <c r="B17" s="1">
        <v>42469</v>
      </c>
      <c r="C17">
        <v>12432</v>
      </c>
      <c r="D17" t="s">
        <v>71</v>
      </c>
      <c r="E17" t="s">
        <v>71</v>
      </c>
      <c r="F17">
        <v>0</v>
      </c>
      <c r="G17" t="s">
        <v>72</v>
      </c>
      <c r="H17" t="s">
        <v>73</v>
      </c>
      <c r="I17" t="s">
        <v>74</v>
      </c>
      <c r="J17">
        <v>0</v>
      </c>
      <c r="K17">
        <v>32</v>
      </c>
      <c r="L17">
        <v>15</v>
      </c>
      <c r="M17">
        <v>248</v>
      </c>
      <c r="N17">
        <v>738</v>
      </c>
      <c r="O17">
        <v>1883</v>
      </c>
      <c r="P17" t="str">
        <f t="shared" si="0"/>
        <v>Weekend</v>
      </c>
    </row>
    <row r="18" spans="1:16" x14ac:dyDescent="0.3">
      <c r="A18">
        <v>1503960366</v>
      </c>
      <c r="B18" s="1">
        <v>42470</v>
      </c>
      <c r="C18">
        <v>10057</v>
      </c>
      <c r="D18" t="s">
        <v>75</v>
      </c>
      <c r="E18" t="s">
        <v>75</v>
      </c>
      <c r="F18">
        <v>0</v>
      </c>
      <c r="G18">
        <v>4</v>
      </c>
      <c r="H18" t="s">
        <v>41</v>
      </c>
      <c r="I18" t="s">
        <v>76</v>
      </c>
      <c r="J18">
        <v>0</v>
      </c>
      <c r="K18">
        <v>44</v>
      </c>
      <c r="L18">
        <v>13</v>
      </c>
      <c r="M18">
        <v>168</v>
      </c>
      <c r="N18">
        <v>737</v>
      </c>
      <c r="O18">
        <v>1755</v>
      </c>
      <c r="P18" t="str">
        <f t="shared" si="0"/>
        <v>Weekend</v>
      </c>
    </row>
    <row r="19" spans="1:16" x14ac:dyDescent="0.3">
      <c r="A19">
        <v>1503960366</v>
      </c>
      <c r="B19" s="1">
        <v>42471</v>
      </c>
      <c r="C19">
        <v>10990</v>
      </c>
      <c r="D19" t="s">
        <v>77</v>
      </c>
      <c r="E19" t="s">
        <v>77</v>
      </c>
      <c r="F19">
        <v>0</v>
      </c>
      <c r="G19" t="s">
        <v>62</v>
      </c>
      <c r="H19" t="s">
        <v>78</v>
      </c>
      <c r="I19" t="s">
        <v>79</v>
      </c>
      <c r="J19">
        <v>0</v>
      </c>
      <c r="K19">
        <v>26</v>
      </c>
      <c r="L19">
        <v>14</v>
      </c>
      <c r="M19">
        <v>216</v>
      </c>
      <c r="N19">
        <v>855</v>
      </c>
      <c r="O19">
        <v>1811</v>
      </c>
      <c r="P19" t="str">
        <f t="shared" si="0"/>
        <v>Weekday</v>
      </c>
    </row>
    <row r="20" spans="1:16" x14ac:dyDescent="0.3">
      <c r="A20">
        <v>1503960366</v>
      </c>
      <c r="B20" s="1">
        <v>42472</v>
      </c>
      <c r="C20">
        <v>224</v>
      </c>
      <c r="D20" t="s">
        <v>80</v>
      </c>
      <c r="E20" t="s">
        <v>80</v>
      </c>
      <c r="F20">
        <v>0</v>
      </c>
      <c r="G20">
        <v>0</v>
      </c>
      <c r="H20">
        <v>0</v>
      </c>
      <c r="I20" t="s">
        <v>81</v>
      </c>
      <c r="J20">
        <v>0</v>
      </c>
      <c r="K20">
        <v>0</v>
      </c>
      <c r="L20">
        <v>0</v>
      </c>
      <c r="M20">
        <v>9</v>
      </c>
      <c r="N20">
        <v>32</v>
      </c>
      <c r="O20">
        <v>50</v>
      </c>
      <c r="P20" t="str">
        <f t="shared" si="0"/>
        <v>Weekday</v>
      </c>
    </row>
    <row r="21" spans="1:16" x14ac:dyDescent="0.3">
      <c r="A21">
        <v>1624580081</v>
      </c>
      <c r="B21" s="1">
        <v>42454</v>
      </c>
      <c r="C21">
        <v>1810</v>
      </c>
      <c r="D21" t="s">
        <v>82</v>
      </c>
      <c r="E21" t="s">
        <v>82</v>
      </c>
      <c r="F21">
        <v>0</v>
      </c>
      <c r="G21">
        <v>0</v>
      </c>
      <c r="H21">
        <v>0</v>
      </c>
      <c r="I21" t="s">
        <v>83</v>
      </c>
      <c r="J21" t="s">
        <v>84</v>
      </c>
      <c r="K21">
        <v>0</v>
      </c>
      <c r="L21">
        <v>0</v>
      </c>
      <c r="M21">
        <v>121</v>
      </c>
      <c r="N21">
        <v>1319</v>
      </c>
      <c r="O21">
        <v>1373</v>
      </c>
      <c r="P21" t="str">
        <f t="shared" si="0"/>
        <v>Weekday</v>
      </c>
    </row>
    <row r="22" spans="1:16" x14ac:dyDescent="0.3">
      <c r="A22">
        <v>1624580081</v>
      </c>
      <c r="B22" s="1">
        <v>42455</v>
      </c>
      <c r="C22">
        <v>815</v>
      </c>
      <c r="D22" t="s">
        <v>85</v>
      </c>
      <c r="E22" t="s">
        <v>85</v>
      </c>
      <c r="F22">
        <v>0</v>
      </c>
      <c r="G22">
        <v>0</v>
      </c>
      <c r="H22">
        <v>0</v>
      </c>
      <c r="I22" t="s">
        <v>85</v>
      </c>
      <c r="J22">
        <v>0</v>
      </c>
      <c r="K22">
        <v>0</v>
      </c>
      <c r="L22">
        <v>0</v>
      </c>
      <c r="M22">
        <v>47</v>
      </c>
      <c r="N22">
        <v>1393</v>
      </c>
      <c r="O22">
        <v>1264</v>
      </c>
      <c r="P22" t="str">
        <f t="shared" si="0"/>
        <v>Weekend</v>
      </c>
    </row>
    <row r="23" spans="1:16" x14ac:dyDescent="0.3">
      <c r="A23">
        <v>1624580081</v>
      </c>
      <c r="B23" s="1">
        <v>42456</v>
      </c>
      <c r="C23">
        <v>1985</v>
      </c>
      <c r="D23" t="s">
        <v>86</v>
      </c>
      <c r="E23" t="s">
        <v>86</v>
      </c>
      <c r="F23">
        <v>0</v>
      </c>
      <c r="G23">
        <v>0</v>
      </c>
      <c r="H23">
        <v>0</v>
      </c>
      <c r="I23" t="s">
        <v>51</v>
      </c>
      <c r="J23" t="s">
        <v>84</v>
      </c>
      <c r="K23">
        <v>0</v>
      </c>
      <c r="L23">
        <v>0</v>
      </c>
      <c r="M23">
        <v>112</v>
      </c>
      <c r="N23">
        <v>1328</v>
      </c>
      <c r="O23">
        <v>1350</v>
      </c>
      <c r="P23" t="str">
        <f t="shared" si="0"/>
        <v>Weekend</v>
      </c>
    </row>
    <row r="24" spans="1:16" x14ac:dyDescent="0.3">
      <c r="A24">
        <v>1624580081</v>
      </c>
      <c r="B24" s="1">
        <v>42457</v>
      </c>
      <c r="C24">
        <v>1905</v>
      </c>
      <c r="D24" t="s">
        <v>87</v>
      </c>
      <c r="E24" t="s">
        <v>87</v>
      </c>
      <c r="F24">
        <v>0</v>
      </c>
      <c r="G24">
        <v>0</v>
      </c>
      <c r="H24">
        <v>0</v>
      </c>
      <c r="I24" t="s">
        <v>87</v>
      </c>
      <c r="J24">
        <v>0</v>
      </c>
      <c r="K24">
        <v>0</v>
      </c>
      <c r="L24">
        <v>0</v>
      </c>
      <c r="M24">
        <v>95</v>
      </c>
      <c r="N24">
        <v>1345</v>
      </c>
      <c r="O24">
        <v>1342</v>
      </c>
      <c r="P24" t="str">
        <f t="shared" si="0"/>
        <v>Weekday</v>
      </c>
    </row>
    <row r="25" spans="1:16" x14ac:dyDescent="0.3">
      <c r="A25">
        <v>1624580081</v>
      </c>
      <c r="B25" s="1">
        <v>42458</v>
      </c>
      <c r="C25">
        <v>1552</v>
      </c>
      <c r="D25" t="s">
        <v>88</v>
      </c>
      <c r="E25" t="s">
        <v>88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66</v>
      </c>
      <c r="N25">
        <v>1374</v>
      </c>
      <c r="O25">
        <v>1300</v>
      </c>
      <c r="P25" t="str">
        <f t="shared" si="0"/>
        <v>Weekday</v>
      </c>
    </row>
    <row r="26" spans="1:16" x14ac:dyDescent="0.3">
      <c r="A26">
        <v>1624580081</v>
      </c>
      <c r="B26" s="1">
        <v>42459</v>
      </c>
      <c r="C26">
        <v>1675</v>
      </c>
      <c r="D26" t="s">
        <v>33</v>
      </c>
      <c r="E26" t="s">
        <v>33</v>
      </c>
      <c r="F26">
        <v>0</v>
      </c>
      <c r="G26">
        <v>0</v>
      </c>
      <c r="H26">
        <v>0</v>
      </c>
      <c r="I26" t="s">
        <v>33</v>
      </c>
      <c r="J26">
        <v>0</v>
      </c>
      <c r="K26">
        <v>0</v>
      </c>
      <c r="L26">
        <v>0</v>
      </c>
      <c r="M26">
        <v>84</v>
      </c>
      <c r="N26">
        <v>1356</v>
      </c>
      <c r="O26">
        <v>1313</v>
      </c>
      <c r="P26" t="str">
        <f t="shared" si="0"/>
        <v>Weekday</v>
      </c>
    </row>
    <row r="27" spans="1:16" x14ac:dyDescent="0.3">
      <c r="A27">
        <v>1624580081</v>
      </c>
      <c r="B27" s="1">
        <v>42460</v>
      </c>
      <c r="C27">
        <v>4506</v>
      </c>
      <c r="D27" t="s">
        <v>89</v>
      </c>
      <c r="E27" t="s">
        <v>89</v>
      </c>
      <c r="F27">
        <v>0</v>
      </c>
      <c r="G27" t="s">
        <v>37</v>
      </c>
      <c r="H27" t="s">
        <v>90</v>
      </c>
      <c r="I27" t="s">
        <v>91</v>
      </c>
      <c r="J27" t="s">
        <v>84</v>
      </c>
      <c r="K27">
        <v>7</v>
      </c>
      <c r="L27">
        <v>4</v>
      </c>
      <c r="M27">
        <v>144</v>
      </c>
      <c r="N27">
        <v>1285</v>
      </c>
      <c r="O27">
        <v>1498</v>
      </c>
      <c r="P27" t="str">
        <f t="shared" si="0"/>
        <v>Weekday</v>
      </c>
    </row>
    <row r="28" spans="1:16" x14ac:dyDescent="0.3">
      <c r="A28">
        <v>1624580081</v>
      </c>
      <c r="B28" s="1">
        <v>42461</v>
      </c>
      <c r="C28">
        <v>9218</v>
      </c>
      <c r="D28" t="s">
        <v>92</v>
      </c>
      <c r="E28" t="s">
        <v>92</v>
      </c>
      <c r="F28">
        <v>0</v>
      </c>
      <c r="G28">
        <v>0</v>
      </c>
      <c r="H28">
        <v>0</v>
      </c>
      <c r="I28" t="s">
        <v>93</v>
      </c>
      <c r="J28" t="s">
        <v>84</v>
      </c>
      <c r="K28">
        <v>0</v>
      </c>
      <c r="L28">
        <v>0</v>
      </c>
      <c r="M28">
        <v>221</v>
      </c>
      <c r="N28">
        <v>1219</v>
      </c>
      <c r="O28">
        <v>1541</v>
      </c>
      <c r="P28" t="str">
        <f t="shared" si="0"/>
        <v>Weekday</v>
      </c>
    </row>
    <row r="29" spans="1:16" x14ac:dyDescent="0.3">
      <c r="A29">
        <v>1624580081</v>
      </c>
      <c r="B29" s="1">
        <v>42462</v>
      </c>
      <c r="C29">
        <v>1556</v>
      </c>
      <c r="D29" t="s">
        <v>88</v>
      </c>
      <c r="E29" t="s">
        <v>88</v>
      </c>
      <c r="F29">
        <v>0</v>
      </c>
      <c r="G29">
        <v>0</v>
      </c>
      <c r="H29">
        <v>0</v>
      </c>
      <c r="I29" t="s">
        <v>88</v>
      </c>
      <c r="J29" t="s">
        <v>84</v>
      </c>
      <c r="K29">
        <v>0</v>
      </c>
      <c r="L29">
        <v>0</v>
      </c>
      <c r="M29">
        <v>88</v>
      </c>
      <c r="N29">
        <v>1352</v>
      </c>
      <c r="O29">
        <v>1327</v>
      </c>
      <c r="P29" t="str">
        <f t="shared" si="0"/>
        <v>Weekend</v>
      </c>
    </row>
    <row r="30" spans="1:16" x14ac:dyDescent="0.3">
      <c r="A30">
        <v>1624580081</v>
      </c>
      <c r="B30" s="1">
        <v>42463</v>
      </c>
      <c r="C30">
        <v>2910</v>
      </c>
      <c r="D30" t="s">
        <v>94</v>
      </c>
      <c r="E30" t="s">
        <v>94</v>
      </c>
      <c r="F30">
        <v>0</v>
      </c>
      <c r="G30">
        <v>0</v>
      </c>
      <c r="H30">
        <v>0</v>
      </c>
      <c r="I30" t="s">
        <v>95</v>
      </c>
      <c r="J30" t="s">
        <v>84</v>
      </c>
      <c r="K30">
        <v>0</v>
      </c>
      <c r="L30">
        <v>0</v>
      </c>
      <c r="M30">
        <v>157</v>
      </c>
      <c r="N30">
        <v>1283</v>
      </c>
      <c r="O30">
        <v>1452</v>
      </c>
      <c r="P30" t="str">
        <f t="shared" si="0"/>
        <v>Weekend</v>
      </c>
    </row>
    <row r="31" spans="1:16" x14ac:dyDescent="0.3">
      <c r="A31">
        <v>1624580081</v>
      </c>
      <c r="B31" s="1">
        <v>42464</v>
      </c>
      <c r="C31">
        <v>18464</v>
      </c>
      <c r="D31">
        <v>12</v>
      </c>
      <c r="E31">
        <v>12</v>
      </c>
      <c r="F31">
        <v>0</v>
      </c>
      <c r="G31">
        <v>0</v>
      </c>
      <c r="H31">
        <v>0</v>
      </c>
      <c r="I31">
        <v>12</v>
      </c>
      <c r="J31">
        <v>0</v>
      </c>
      <c r="K31">
        <v>0</v>
      </c>
      <c r="L31">
        <v>0</v>
      </c>
      <c r="M31">
        <v>270</v>
      </c>
      <c r="N31">
        <v>1170</v>
      </c>
      <c r="O31">
        <v>1574</v>
      </c>
      <c r="P31" t="str">
        <f t="shared" si="0"/>
        <v>Weekday</v>
      </c>
    </row>
    <row r="32" spans="1:16" x14ac:dyDescent="0.3">
      <c r="A32">
        <v>1624580081</v>
      </c>
      <c r="B32" s="1">
        <v>42465</v>
      </c>
      <c r="C32">
        <v>1335</v>
      </c>
      <c r="D32" t="s">
        <v>96</v>
      </c>
      <c r="E32" t="s">
        <v>96</v>
      </c>
      <c r="F32">
        <v>0</v>
      </c>
      <c r="G32">
        <v>0</v>
      </c>
      <c r="H32">
        <v>0</v>
      </c>
      <c r="I32" t="s">
        <v>96</v>
      </c>
      <c r="J32">
        <v>0</v>
      </c>
      <c r="K32">
        <v>0</v>
      </c>
      <c r="L32">
        <v>0</v>
      </c>
      <c r="M32">
        <v>74</v>
      </c>
      <c r="N32">
        <v>1366</v>
      </c>
      <c r="O32">
        <v>1308</v>
      </c>
      <c r="P32" t="str">
        <f t="shared" si="0"/>
        <v>Weekday</v>
      </c>
    </row>
    <row r="33" spans="1:16" x14ac:dyDescent="0.3">
      <c r="A33">
        <v>1624580081</v>
      </c>
      <c r="B33" s="1">
        <v>42466</v>
      </c>
      <c r="C33">
        <v>1004</v>
      </c>
      <c r="D33" t="s">
        <v>97</v>
      </c>
      <c r="E33" t="s">
        <v>97</v>
      </c>
      <c r="F33">
        <v>0</v>
      </c>
      <c r="G33">
        <v>0</v>
      </c>
      <c r="H33">
        <v>0</v>
      </c>
      <c r="I33" t="s">
        <v>97</v>
      </c>
      <c r="J33">
        <v>0</v>
      </c>
      <c r="K33">
        <v>0</v>
      </c>
      <c r="L33">
        <v>0</v>
      </c>
      <c r="M33">
        <v>55</v>
      </c>
      <c r="N33">
        <v>1385</v>
      </c>
      <c r="O33">
        <v>1276</v>
      </c>
      <c r="P33" t="str">
        <f t="shared" si="0"/>
        <v>Weekday</v>
      </c>
    </row>
    <row r="34" spans="1:16" x14ac:dyDescent="0.3">
      <c r="A34">
        <v>1624580081</v>
      </c>
      <c r="B34" s="1">
        <v>42467</v>
      </c>
      <c r="C34">
        <v>1111</v>
      </c>
      <c r="D34" t="s">
        <v>98</v>
      </c>
      <c r="E34" t="s">
        <v>98</v>
      </c>
      <c r="F34">
        <v>0</v>
      </c>
      <c r="G34">
        <v>0</v>
      </c>
      <c r="H34">
        <v>0</v>
      </c>
      <c r="I34" t="s">
        <v>98</v>
      </c>
      <c r="J34">
        <v>0</v>
      </c>
      <c r="K34">
        <v>0</v>
      </c>
      <c r="L34">
        <v>0</v>
      </c>
      <c r="M34">
        <v>54</v>
      </c>
      <c r="N34">
        <v>1386</v>
      </c>
      <c r="O34">
        <v>1278</v>
      </c>
      <c r="P34" t="str">
        <f t="shared" si="0"/>
        <v>Weekday</v>
      </c>
    </row>
    <row r="35" spans="1:16" x14ac:dyDescent="0.3">
      <c r="A35">
        <v>1624580081</v>
      </c>
      <c r="B35" s="1">
        <v>42468</v>
      </c>
      <c r="C35">
        <v>6344</v>
      </c>
      <c r="D35" t="s">
        <v>99</v>
      </c>
      <c r="E35" t="s">
        <v>99</v>
      </c>
      <c r="F35">
        <v>0</v>
      </c>
      <c r="G35">
        <v>0</v>
      </c>
      <c r="H35">
        <v>0</v>
      </c>
      <c r="I35" t="s">
        <v>100</v>
      </c>
      <c r="J35">
        <v>0</v>
      </c>
      <c r="K35">
        <v>0</v>
      </c>
      <c r="L35">
        <v>0</v>
      </c>
      <c r="M35">
        <v>143</v>
      </c>
      <c r="N35">
        <v>1297</v>
      </c>
      <c r="O35">
        <v>1409</v>
      </c>
      <c r="P35" t="str">
        <f t="shared" si="0"/>
        <v>Weekday</v>
      </c>
    </row>
    <row r="36" spans="1:16" x14ac:dyDescent="0.3">
      <c r="A36">
        <v>1624580081</v>
      </c>
      <c r="B36" s="1">
        <v>42469</v>
      </c>
      <c r="C36">
        <v>3572</v>
      </c>
      <c r="D36" t="s">
        <v>101</v>
      </c>
      <c r="E36" t="s">
        <v>101</v>
      </c>
      <c r="F36">
        <v>0</v>
      </c>
      <c r="G36">
        <v>0</v>
      </c>
      <c r="H36">
        <v>0</v>
      </c>
      <c r="I36" t="s">
        <v>40</v>
      </c>
      <c r="J36" t="s">
        <v>102</v>
      </c>
      <c r="K36">
        <v>0</v>
      </c>
      <c r="L36">
        <v>0</v>
      </c>
      <c r="M36">
        <v>122</v>
      </c>
      <c r="N36">
        <v>1318</v>
      </c>
      <c r="O36">
        <v>1370</v>
      </c>
      <c r="P36" t="str">
        <f t="shared" si="0"/>
        <v>Weekend</v>
      </c>
    </row>
    <row r="37" spans="1:16" x14ac:dyDescent="0.3">
      <c r="A37">
        <v>1624580081</v>
      </c>
      <c r="B37" s="1">
        <v>42470</v>
      </c>
      <c r="C37">
        <v>3910</v>
      </c>
      <c r="D37" t="s">
        <v>103</v>
      </c>
      <c r="E37" t="s">
        <v>103</v>
      </c>
      <c r="F37">
        <v>0</v>
      </c>
      <c r="G37" t="s">
        <v>104</v>
      </c>
      <c r="H37" t="s">
        <v>105</v>
      </c>
      <c r="I37" t="s">
        <v>106</v>
      </c>
      <c r="J37" t="s">
        <v>84</v>
      </c>
      <c r="K37">
        <v>7</v>
      </c>
      <c r="L37">
        <v>7</v>
      </c>
      <c r="M37">
        <v>186</v>
      </c>
      <c r="N37">
        <v>1240</v>
      </c>
      <c r="O37">
        <v>1555</v>
      </c>
      <c r="P37" t="str">
        <f t="shared" si="0"/>
        <v>Weekend</v>
      </c>
    </row>
    <row r="38" spans="1:16" x14ac:dyDescent="0.3">
      <c r="A38">
        <v>1624580081</v>
      </c>
      <c r="B38" s="1">
        <v>42471</v>
      </c>
      <c r="C38">
        <v>10000</v>
      </c>
      <c r="D38" s="3">
        <v>46148</v>
      </c>
      <c r="E38" s="3">
        <v>46148</v>
      </c>
      <c r="F38">
        <v>0</v>
      </c>
      <c r="G38">
        <v>0</v>
      </c>
      <c r="H38">
        <v>0</v>
      </c>
      <c r="I38" s="3">
        <v>46148</v>
      </c>
      <c r="J38">
        <v>0</v>
      </c>
      <c r="K38">
        <v>0</v>
      </c>
      <c r="L38">
        <v>0</v>
      </c>
      <c r="M38">
        <v>172</v>
      </c>
      <c r="N38">
        <v>1268</v>
      </c>
      <c r="O38">
        <v>1469</v>
      </c>
      <c r="P38" t="str">
        <f t="shared" si="0"/>
        <v>Weekday</v>
      </c>
    </row>
    <row r="39" spans="1:16" x14ac:dyDescent="0.3">
      <c r="A39">
        <v>1624580081</v>
      </c>
      <c r="B39" s="1">
        <v>42472</v>
      </c>
      <c r="C39">
        <v>6627</v>
      </c>
      <c r="D39" t="s">
        <v>107</v>
      </c>
      <c r="E39" t="s">
        <v>107</v>
      </c>
      <c r="F39">
        <v>0</v>
      </c>
      <c r="G39">
        <v>0</v>
      </c>
      <c r="H39">
        <v>0</v>
      </c>
      <c r="I39" t="s">
        <v>107</v>
      </c>
      <c r="J39">
        <v>0</v>
      </c>
      <c r="K39">
        <v>0</v>
      </c>
      <c r="L39">
        <v>0</v>
      </c>
      <c r="M39">
        <v>89</v>
      </c>
      <c r="N39">
        <v>604</v>
      </c>
      <c r="O39">
        <v>706</v>
      </c>
      <c r="P39" t="str">
        <f t="shared" si="0"/>
        <v>Weekday</v>
      </c>
    </row>
    <row r="40" spans="1:16" x14ac:dyDescent="0.3">
      <c r="A40">
        <v>1644430081</v>
      </c>
      <c r="B40" s="1">
        <v>42461</v>
      </c>
      <c r="C40">
        <v>4636</v>
      </c>
      <c r="D40" t="s">
        <v>108</v>
      </c>
      <c r="E40" t="s">
        <v>108</v>
      </c>
      <c r="F40">
        <v>0</v>
      </c>
      <c r="G40">
        <v>0</v>
      </c>
      <c r="H40" t="s">
        <v>109</v>
      </c>
      <c r="I40" t="s">
        <v>110</v>
      </c>
      <c r="J40" t="s">
        <v>102</v>
      </c>
      <c r="K40">
        <v>0</v>
      </c>
      <c r="L40">
        <v>16</v>
      </c>
      <c r="M40">
        <v>586</v>
      </c>
      <c r="N40">
        <v>838</v>
      </c>
      <c r="O40">
        <v>3323</v>
      </c>
      <c r="P40" t="str">
        <f t="shared" si="0"/>
        <v>Weekday</v>
      </c>
    </row>
    <row r="41" spans="1:16" x14ac:dyDescent="0.3">
      <c r="A41">
        <v>1644430081</v>
      </c>
      <c r="B41" s="1">
        <v>42462</v>
      </c>
      <c r="C41">
        <v>20237</v>
      </c>
      <c r="D41" t="s">
        <v>111</v>
      </c>
      <c r="E41" t="s">
        <v>111</v>
      </c>
      <c r="F41">
        <v>0</v>
      </c>
      <c r="G41" t="s">
        <v>16</v>
      </c>
      <c r="H41" t="s">
        <v>112</v>
      </c>
      <c r="I41" t="s">
        <v>113</v>
      </c>
      <c r="J41" t="s">
        <v>84</v>
      </c>
      <c r="K41">
        <v>34</v>
      </c>
      <c r="L41">
        <v>141</v>
      </c>
      <c r="M41">
        <v>347</v>
      </c>
      <c r="N41">
        <v>918</v>
      </c>
      <c r="O41">
        <v>4029</v>
      </c>
      <c r="P41" t="str">
        <f t="shared" si="0"/>
        <v>Weekend</v>
      </c>
    </row>
    <row r="42" spans="1:16" x14ac:dyDescent="0.3">
      <c r="A42">
        <v>1644430081</v>
      </c>
      <c r="B42" s="1">
        <v>42463</v>
      </c>
      <c r="C42">
        <v>12912</v>
      </c>
      <c r="D42" t="s">
        <v>114</v>
      </c>
      <c r="E42" t="s">
        <v>114</v>
      </c>
      <c r="F42">
        <v>0</v>
      </c>
      <c r="G42" t="s">
        <v>115</v>
      </c>
      <c r="H42" t="s">
        <v>116</v>
      </c>
      <c r="I42" t="s">
        <v>117</v>
      </c>
      <c r="J42" t="s">
        <v>102</v>
      </c>
      <c r="K42">
        <v>59</v>
      </c>
      <c r="L42">
        <v>16</v>
      </c>
      <c r="M42">
        <v>283</v>
      </c>
      <c r="N42">
        <v>1082</v>
      </c>
      <c r="O42">
        <v>3436</v>
      </c>
      <c r="P42" t="str">
        <f t="shared" si="0"/>
        <v>Weekend</v>
      </c>
    </row>
    <row r="43" spans="1:16" x14ac:dyDescent="0.3">
      <c r="A43">
        <v>1644430081</v>
      </c>
      <c r="B43" s="1">
        <v>42464</v>
      </c>
      <c r="C43">
        <v>2819</v>
      </c>
      <c r="D43" t="s">
        <v>118</v>
      </c>
      <c r="E43" t="s">
        <v>118</v>
      </c>
      <c r="F43">
        <v>0</v>
      </c>
      <c r="G43" t="s">
        <v>119</v>
      </c>
      <c r="H43" t="s">
        <v>120</v>
      </c>
      <c r="I43" t="s">
        <v>121</v>
      </c>
      <c r="J43" t="s">
        <v>84</v>
      </c>
      <c r="K43">
        <v>4</v>
      </c>
      <c r="L43">
        <v>4</v>
      </c>
      <c r="M43">
        <v>87</v>
      </c>
      <c r="N43">
        <v>1345</v>
      </c>
      <c r="O43">
        <v>2444</v>
      </c>
      <c r="P43" t="str">
        <f t="shared" si="0"/>
        <v>Weekday</v>
      </c>
    </row>
    <row r="44" spans="1:16" x14ac:dyDescent="0.3">
      <c r="A44">
        <v>1644430081</v>
      </c>
      <c r="B44" s="1">
        <v>42465</v>
      </c>
      <c r="C44">
        <v>9921</v>
      </c>
      <c r="D44" t="s">
        <v>122</v>
      </c>
      <c r="E44" t="s">
        <v>122</v>
      </c>
      <c r="F44">
        <v>0</v>
      </c>
      <c r="G44" t="s">
        <v>123</v>
      </c>
      <c r="H44" t="s">
        <v>124</v>
      </c>
      <c r="I44" t="s">
        <v>125</v>
      </c>
      <c r="J44">
        <v>0</v>
      </c>
      <c r="K44">
        <v>5</v>
      </c>
      <c r="L44">
        <v>35</v>
      </c>
      <c r="M44">
        <v>219</v>
      </c>
      <c r="N44">
        <v>1181</v>
      </c>
      <c r="O44">
        <v>3098</v>
      </c>
      <c r="P44" t="str">
        <f t="shared" si="0"/>
        <v>Weekday</v>
      </c>
    </row>
    <row r="45" spans="1:16" x14ac:dyDescent="0.3">
      <c r="A45">
        <v>1644430081</v>
      </c>
      <c r="B45" s="1">
        <v>42466</v>
      </c>
      <c r="C45">
        <v>8046</v>
      </c>
      <c r="D45" t="s">
        <v>126</v>
      </c>
      <c r="E45" t="s">
        <v>126</v>
      </c>
      <c r="F45">
        <v>0</v>
      </c>
      <c r="G45" t="s">
        <v>86</v>
      </c>
      <c r="H45" t="s">
        <v>127</v>
      </c>
      <c r="I45" t="s">
        <v>128</v>
      </c>
      <c r="J45">
        <v>0</v>
      </c>
      <c r="K45">
        <v>18</v>
      </c>
      <c r="L45">
        <v>41</v>
      </c>
      <c r="M45">
        <v>137</v>
      </c>
      <c r="N45">
        <v>1244</v>
      </c>
      <c r="O45">
        <v>2925</v>
      </c>
      <c r="P45" t="str">
        <f t="shared" si="0"/>
        <v>Weekday</v>
      </c>
    </row>
    <row r="46" spans="1:16" x14ac:dyDescent="0.3">
      <c r="A46">
        <v>1644430081</v>
      </c>
      <c r="B46" s="1">
        <v>42467</v>
      </c>
      <c r="C46">
        <v>11166</v>
      </c>
      <c r="D46" t="s">
        <v>129</v>
      </c>
      <c r="E46" t="s">
        <v>129</v>
      </c>
      <c r="F46">
        <v>0</v>
      </c>
      <c r="G46" t="s">
        <v>130</v>
      </c>
      <c r="H46" t="s">
        <v>131</v>
      </c>
      <c r="I46" s="3">
        <v>46147</v>
      </c>
      <c r="J46">
        <v>0</v>
      </c>
      <c r="K46">
        <v>3</v>
      </c>
      <c r="L46">
        <v>58</v>
      </c>
      <c r="M46">
        <v>230</v>
      </c>
      <c r="N46">
        <v>1149</v>
      </c>
      <c r="O46">
        <v>3202</v>
      </c>
      <c r="P46" t="str">
        <f t="shared" si="0"/>
        <v>Weekday</v>
      </c>
    </row>
    <row r="47" spans="1:16" x14ac:dyDescent="0.3">
      <c r="A47">
        <v>1644430081</v>
      </c>
      <c r="B47" s="1">
        <v>42468</v>
      </c>
      <c r="C47">
        <v>7842</v>
      </c>
      <c r="D47" t="s">
        <v>132</v>
      </c>
      <c r="E47" t="s">
        <v>132</v>
      </c>
      <c r="F47">
        <v>0</v>
      </c>
      <c r="G47" t="s">
        <v>63</v>
      </c>
      <c r="H47" t="s">
        <v>131</v>
      </c>
      <c r="I47" t="s">
        <v>133</v>
      </c>
      <c r="J47">
        <v>0</v>
      </c>
      <c r="K47">
        <v>7</v>
      </c>
      <c r="L47">
        <v>43</v>
      </c>
      <c r="M47">
        <v>161</v>
      </c>
      <c r="N47">
        <v>1229</v>
      </c>
      <c r="O47">
        <v>2928</v>
      </c>
      <c r="P47" t="str">
        <f t="shared" si="0"/>
        <v>Weekday</v>
      </c>
    </row>
    <row r="48" spans="1:16" x14ac:dyDescent="0.3">
      <c r="A48">
        <v>1644430081</v>
      </c>
      <c r="B48" s="1">
        <v>42469</v>
      </c>
      <c r="C48">
        <v>13840</v>
      </c>
      <c r="D48" t="s">
        <v>134</v>
      </c>
      <c r="E48" t="s">
        <v>134</v>
      </c>
      <c r="F48">
        <v>0</v>
      </c>
      <c r="G48" t="s">
        <v>135</v>
      </c>
      <c r="H48" t="s">
        <v>136</v>
      </c>
      <c r="I48" t="s">
        <v>137</v>
      </c>
      <c r="J48">
        <v>0</v>
      </c>
      <c r="K48">
        <v>18</v>
      </c>
      <c r="L48">
        <v>81</v>
      </c>
      <c r="M48">
        <v>192</v>
      </c>
      <c r="N48">
        <v>1149</v>
      </c>
      <c r="O48">
        <v>3290</v>
      </c>
      <c r="P48" t="str">
        <f t="shared" si="0"/>
        <v>Weekend</v>
      </c>
    </row>
    <row r="49" spans="1:16" x14ac:dyDescent="0.3">
      <c r="A49">
        <v>1644430081</v>
      </c>
      <c r="B49" s="1">
        <v>42470</v>
      </c>
      <c r="C49">
        <v>1329</v>
      </c>
      <c r="D49" t="s">
        <v>138</v>
      </c>
      <c r="E49" t="s">
        <v>138</v>
      </c>
      <c r="F49">
        <v>0</v>
      </c>
      <c r="G49">
        <v>0</v>
      </c>
      <c r="H49">
        <v>0</v>
      </c>
      <c r="I49" t="s">
        <v>138</v>
      </c>
      <c r="J49">
        <v>0</v>
      </c>
      <c r="K49">
        <v>0</v>
      </c>
      <c r="L49">
        <v>0</v>
      </c>
      <c r="M49">
        <v>35</v>
      </c>
      <c r="N49">
        <v>207</v>
      </c>
      <c r="O49">
        <v>489</v>
      </c>
      <c r="P49" t="str">
        <f t="shared" si="0"/>
        <v>Weekend</v>
      </c>
    </row>
    <row r="50" spans="1:16" x14ac:dyDescent="0.3">
      <c r="A50">
        <v>1844505072</v>
      </c>
      <c r="B50" s="1">
        <v>42461</v>
      </c>
      <c r="C50">
        <v>6847</v>
      </c>
      <c r="D50" t="s">
        <v>139</v>
      </c>
      <c r="E50" t="s">
        <v>139</v>
      </c>
      <c r="F50">
        <v>0</v>
      </c>
      <c r="G50" t="s">
        <v>140</v>
      </c>
      <c r="H50" t="s">
        <v>141</v>
      </c>
      <c r="I50" t="s">
        <v>142</v>
      </c>
      <c r="J50">
        <v>0</v>
      </c>
      <c r="K50">
        <v>9</v>
      </c>
      <c r="L50">
        <v>9</v>
      </c>
      <c r="M50">
        <v>251</v>
      </c>
      <c r="N50">
        <v>1171</v>
      </c>
      <c r="O50">
        <v>1969</v>
      </c>
      <c r="P50" t="str">
        <f t="shared" si="0"/>
        <v>Weekday</v>
      </c>
    </row>
    <row r="51" spans="1:16" x14ac:dyDescent="0.3">
      <c r="A51">
        <v>1844505072</v>
      </c>
      <c r="B51" s="1">
        <v>42462</v>
      </c>
      <c r="C51">
        <v>5367</v>
      </c>
      <c r="D51" t="s">
        <v>142</v>
      </c>
      <c r="E51" t="s">
        <v>142</v>
      </c>
      <c r="F51">
        <v>0</v>
      </c>
      <c r="G51">
        <v>0</v>
      </c>
      <c r="H51">
        <v>0</v>
      </c>
      <c r="I51" t="s">
        <v>142</v>
      </c>
      <c r="J51">
        <v>0</v>
      </c>
      <c r="K51">
        <v>0</v>
      </c>
      <c r="L51">
        <v>0</v>
      </c>
      <c r="M51">
        <v>263</v>
      </c>
      <c r="N51">
        <v>1177</v>
      </c>
      <c r="O51">
        <v>1889</v>
      </c>
      <c r="P51" t="str">
        <f t="shared" si="0"/>
        <v>Weekend</v>
      </c>
    </row>
    <row r="52" spans="1:16" x14ac:dyDescent="0.3">
      <c r="A52">
        <v>1844505072</v>
      </c>
      <c r="B52" s="1">
        <v>42463</v>
      </c>
      <c r="C52">
        <v>2841</v>
      </c>
      <c r="D52" t="s">
        <v>95</v>
      </c>
      <c r="E52" t="s">
        <v>95</v>
      </c>
      <c r="F52">
        <v>0</v>
      </c>
      <c r="G52">
        <v>0</v>
      </c>
      <c r="H52">
        <v>0</v>
      </c>
      <c r="I52" t="s">
        <v>95</v>
      </c>
      <c r="J52">
        <v>0</v>
      </c>
      <c r="K52">
        <v>0</v>
      </c>
      <c r="L52">
        <v>0</v>
      </c>
      <c r="M52">
        <v>136</v>
      </c>
      <c r="N52">
        <v>1114</v>
      </c>
      <c r="O52">
        <v>1636</v>
      </c>
      <c r="P52" t="str">
        <f t="shared" si="0"/>
        <v>Weekend</v>
      </c>
    </row>
    <row r="53" spans="1:16" hidden="1" x14ac:dyDescent="0.3">
      <c r="A53">
        <v>1844505072</v>
      </c>
      <c r="B53" s="1">
        <v>42464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669</v>
      </c>
      <c r="O53">
        <v>1347</v>
      </c>
      <c r="P53" t="str">
        <f t="shared" si="0"/>
        <v>Weekday</v>
      </c>
    </row>
    <row r="54" spans="1:16" hidden="1" x14ac:dyDescent="0.3">
      <c r="A54">
        <v>1844505072</v>
      </c>
      <c r="B54" s="1">
        <v>42465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1440</v>
      </c>
      <c r="O54">
        <v>1347</v>
      </c>
      <c r="P54" t="str">
        <f t="shared" si="0"/>
        <v>Weekday</v>
      </c>
    </row>
    <row r="55" spans="1:16" x14ac:dyDescent="0.3">
      <c r="A55">
        <v>1844505072</v>
      </c>
      <c r="B55" s="1">
        <v>42466</v>
      </c>
      <c r="C55">
        <v>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1439</v>
      </c>
      <c r="O55">
        <v>1349</v>
      </c>
      <c r="P55" t="str">
        <f t="shared" si="0"/>
        <v>Weekday</v>
      </c>
    </row>
    <row r="56" spans="1:16" x14ac:dyDescent="0.3">
      <c r="A56">
        <v>1844505072</v>
      </c>
      <c r="B56" s="1">
        <v>42467</v>
      </c>
      <c r="C56">
        <v>6344</v>
      </c>
      <c r="D56" t="s">
        <v>143</v>
      </c>
      <c r="E56" t="s">
        <v>143</v>
      </c>
      <c r="F56">
        <v>0</v>
      </c>
      <c r="G56">
        <v>0</v>
      </c>
      <c r="H56">
        <v>0</v>
      </c>
      <c r="I56" t="s">
        <v>143</v>
      </c>
      <c r="J56">
        <v>0</v>
      </c>
      <c r="K56">
        <v>0</v>
      </c>
      <c r="L56">
        <v>0</v>
      </c>
      <c r="M56">
        <v>290</v>
      </c>
      <c r="N56">
        <v>1150</v>
      </c>
      <c r="O56">
        <v>1965</v>
      </c>
      <c r="P56" t="str">
        <f t="shared" si="0"/>
        <v>Weekday</v>
      </c>
    </row>
    <row r="57" spans="1:16" x14ac:dyDescent="0.3">
      <c r="A57">
        <v>1844505072</v>
      </c>
      <c r="B57" s="1">
        <v>42468</v>
      </c>
      <c r="C57">
        <v>5316</v>
      </c>
      <c r="D57" t="s">
        <v>144</v>
      </c>
      <c r="E57" t="s">
        <v>144</v>
      </c>
      <c r="F57">
        <v>0</v>
      </c>
      <c r="G57">
        <v>0</v>
      </c>
      <c r="H57">
        <v>0</v>
      </c>
      <c r="I57" t="s">
        <v>144</v>
      </c>
      <c r="J57">
        <v>0</v>
      </c>
      <c r="K57">
        <v>0</v>
      </c>
      <c r="L57">
        <v>0</v>
      </c>
      <c r="M57">
        <v>221</v>
      </c>
      <c r="N57">
        <v>1219</v>
      </c>
      <c r="O57">
        <v>1824</v>
      </c>
      <c r="P57" t="str">
        <f t="shared" si="0"/>
        <v>Weekday</v>
      </c>
    </row>
    <row r="58" spans="1:16" x14ac:dyDescent="0.3">
      <c r="A58">
        <v>1844505072</v>
      </c>
      <c r="B58" s="1">
        <v>42469</v>
      </c>
      <c r="C58">
        <v>4979</v>
      </c>
      <c r="D58" t="s">
        <v>145</v>
      </c>
      <c r="E58" t="s">
        <v>145</v>
      </c>
      <c r="F58">
        <v>0</v>
      </c>
      <c r="G58">
        <v>0</v>
      </c>
      <c r="H58">
        <v>0</v>
      </c>
      <c r="I58" t="s">
        <v>145</v>
      </c>
      <c r="J58">
        <v>0</v>
      </c>
      <c r="K58">
        <v>0</v>
      </c>
      <c r="L58">
        <v>0</v>
      </c>
      <c r="M58">
        <v>184</v>
      </c>
      <c r="N58">
        <v>620</v>
      </c>
      <c r="O58">
        <v>1807</v>
      </c>
      <c r="P58" t="str">
        <f t="shared" si="0"/>
        <v>Weekend</v>
      </c>
    </row>
    <row r="59" spans="1:16" x14ac:dyDescent="0.3">
      <c r="A59">
        <v>1844505072</v>
      </c>
      <c r="B59" s="1">
        <v>42470</v>
      </c>
      <c r="C59">
        <v>6556</v>
      </c>
      <c r="D59" t="s">
        <v>146</v>
      </c>
      <c r="E59" t="s">
        <v>146</v>
      </c>
      <c r="F59">
        <v>0</v>
      </c>
      <c r="G59">
        <v>0</v>
      </c>
      <c r="H59">
        <v>0</v>
      </c>
      <c r="I59" t="s">
        <v>147</v>
      </c>
      <c r="J59">
        <v>0</v>
      </c>
      <c r="K59">
        <v>0</v>
      </c>
      <c r="L59">
        <v>0</v>
      </c>
      <c r="M59">
        <v>305</v>
      </c>
      <c r="N59">
        <v>810</v>
      </c>
      <c r="O59">
        <v>1971</v>
      </c>
      <c r="P59" t="str">
        <f t="shared" si="0"/>
        <v>Weekend</v>
      </c>
    </row>
    <row r="60" spans="1:16" x14ac:dyDescent="0.3">
      <c r="A60">
        <v>1844505072</v>
      </c>
      <c r="B60" s="1">
        <v>42471</v>
      </c>
      <c r="C60">
        <v>5430</v>
      </c>
      <c r="D60" t="s">
        <v>148</v>
      </c>
      <c r="E60" t="s">
        <v>148</v>
      </c>
      <c r="F60">
        <v>0</v>
      </c>
      <c r="G60">
        <v>0</v>
      </c>
      <c r="H60">
        <v>0</v>
      </c>
      <c r="I60" t="s">
        <v>148</v>
      </c>
      <c r="J60">
        <v>0</v>
      </c>
      <c r="K60">
        <v>0</v>
      </c>
      <c r="L60">
        <v>0</v>
      </c>
      <c r="M60">
        <v>251</v>
      </c>
      <c r="N60">
        <v>1189</v>
      </c>
      <c r="O60">
        <v>1888</v>
      </c>
      <c r="P60" t="str">
        <f t="shared" si="0"/>
        <v>Weekday</v>
      </c>
    </row>
    <row r="61" spans="1:16" hidden="1" x14ac:dyDescent="0.3">
      <c r="A61">
        <v>1844505072</v>
      </c>
      <c r="B61" s="1">
        <v>42472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426</v>
      </c>
      <c r="O61">
        <v>399</v>
      </c>
      <c r="P61" t="str">
        <f t="shared" si="0"/>
        <v>Weekday</v>
      </c>
    </row>
    <row r="62" spans="1:16" x14ac:dyDescent="0.3">
      <c r="A62">
        <v>1927972279</v>
      </c>
      <c r="B62" s="1">
        <v>42461</v>
      </c>
      <c r="C62">
        <v>4317</v>
      </c>
      <c r="D62" t="s">
        <v>149</v>
      </c>
      <c r="E62" t="s">
        <v>149</v>
      </c>
      <c r="F62">
        <v>0</v>
      </c>
      <c r="G62">
        <v>0</v>
      </c>
      <c r="H62" t="s">
        <v>141</v>
      </c>
      <c r="I62" t="s">
        <v>150</v>
      </c>
      <c r="J62">
        <v>0</v>
      </c>
      <c r="K62">
        <v>0</v>
      </c>
      <c r="L62">
        <v>11</v>
      </c>
      <c r="M62">
        <v>192</v>
      </c>
      <c r="N62">
        <v>854</v>
      </c>
      <c r="O62">
        <v>2590</v>
      </c>
      <c r="P62" t="str">
        <f t="shared" si="0"/>
        <v>Weekday</v>
      </c>
    </row>
    <row r="63" spans="1:16" x14ac:dyDescent="0.3">
      <c r="A63">
        <v>1927972279</v>
      </c>
      <c r="B63" s="1">
        <v>42462</v>
      </c>
      <c r="C63">
        <v>5662</v>
      </c>
      <c r="D63" t="s">
        <v>151</v>
      </c>
      <c r="E63" t="s">
        <v>151</v>
      </c>
      <c r="F63">
        <v>0</v>
      </c>
      <c r="G63">
        <v>0</v>
      </c>
      <c r="H63">
        <v>0</v>
      </c>
      <c r="I63" t="s">
        <v>151</v>
      </c>
      <c r="J63">
        <v>0</v>
      </c>
      <c r="K63">
        <v>0</v>
      </c>
      <c r="L63">
        <v>0</v>
      </c>
      <c r="M63">
        <v>267</v>
      </c>
      <c r="N63">
        <v>858</v>
      </c>
      <c r="O63">
        <v>2783</v>
      </c>
      <c r="P63" t="str">
        <f t="shared" si="0"/>
        <v>Weekend</v>
      </c>
    </row>
    <row r="64" spans="1:16" x14ac:dyDescent="0.3">
      <c r="A64">
        <v>1927972279</v>
      </c>
      <c r="B64" s="1">
        <v>42463</v>
      </c>
      <c r="C64">
        <v>3198</v>
      </c>
      <c r="D64" t="s">
        <v>152</v>
      </c>
      <c r="E64" t="s">
        <v>152</v>
      </c>
      <c r="F64">
        <v>0</v>
      </c>
      <c r="G64">
        <v>0</v>
      </c>
      <c r="H64">
        <v>0</v>
      </c>
      <c r="I64" t="s">
        <v>152</v>
      </c>
      <c r="J64">
        <v>0</v>
      </c>
      <c r="K64">
        <v>0</v>
      </c>
      <c r="L64">
        <v>0</v>
      </c>
      <c r="M64">
        <v>146</v>
      </c>
      <c r="N64">
        <v>1183</v>
      </c>
      <c r="O64">
        <v>2449</v>
      </c>
      <c r="P64" t="str">
        <f t="shared" si="0"/>
        <v>Weekend</v>
      </c>
    </row>
    <row r="65" spans="1:16" x14ac:dyDescent="0.3">
      <c r="A65">
        <v>1927972279</v>
      </c>
      <c r="B65" s="1">
        <v>42464</v>
      </c>
      <c r="C65">
        <v>2352</v>
      </c>
      <c r="D65" t="s">
        <v>153</v>
      </c>
      <c r="E65" t="s">
        <v>153</v>
      </c>
      <c r="F65">
        <v>0</v>
      </c>
      <c r="G65">
        <v>0</v>
      </c>
      <c r="H65">
        <v>0</v>
      </c>
      <c r="I65" t="s">
        <v>153</v>
      </c>
      <c r="J65">
        <v>0</v>
      </c>
      <c r="K65">
        <v>0</v>
      </c>
      <c r="L65">
        <v>0</v>
      </c>
      <c r="M65">
        <v>128</v>
      </c>
      <c r="N65">
        <v>829</v>
      </c>
      <c r="O65">
        <v>2380</v>
      </c>
      <c r="P65" t="str">
        <f t="shared" si="0"/>
        <v>Weekday</v>
      </c>
    </row>
    <row r="66" spans="1:16" x14ac:dyDescent="0.3">
      <c r="A66">
        <v>1927972279</v>
      </c>
      <c r="B66" s="1">
        <v>42465</v>
      </c>
      <c r="C66">
        <v>2234</v>
      </c>
      <c r="D66" t="s">
        <v>154</v>
      </c>
      <c r="E66" t="s">
        <v>154</v>
      </c>
      <c r="F66">
        <v>0</v>
      </c>
      <c r="G66">
        <v>0</v>
      </c>
      <c r="H66">
        <v>0</v>
      </c>
      <c r="I66" t="s">
        <v>154</v>
      </c>
      <c r="J66">
        <v>0</v>
      </c>
      <c r="K66">
        <v>0</v>
      </c>
      <c r="L66">
        <v>0</v>
      </c>
      <c r="M66">
        <v>108</v>
      </c>
      <c r="N66">
        <v>912</v>
      </c>
      <c r="O66">
        <v>2344</v>
      </c>
      <c r="P66" t="str">
        <f t="shared" si="0"/>
        <v>Weekday</v>
      </c>
    </row>
    <row r="67" spans="1:16" x14ac:dyDescent="0.3">
      <c r="A67">
        <v>1927972279</v>
      </c>
      <c r="B67" s="1">
        <v>42466</v>
      </c>
      <c r="C67">
        <v>1259</v>
      </c>
      <c r="D67" t="s">
        <v>96</v>
      </c>
      <c r="E67" t="s">
        <v>96</v>
      </c>
      <c r="F67">
        <v>0</v>
      </c>
      <c r="G67">
        <v>0</v>
      </c>
      <c r="H67">
        <v>0</v>
      </c>
      <c r="I67" t="s">
        <v>96</v>
      </c>
      <c r="J67">
        <v>0</v>
      </c>
      <c r="K67">
        <v>0</v>
      </c>
      <c r="L67">
        <v>0</v>
      </c>
      <c r="M67">
        <v>73</v>
      </c>
      <c r="N67">
        <v>938</v>
      </c>
      <c r="O67">
        <v>2202</v>
      </c>
      <c r="P67" t="str">
        <f t="shared" ref="P67:P130" si="1">IF(OR(WEEKDAY(B67,2)=6, WEEKDAY(B67,2)=7),"Weekend","Weekday")</f>
        <v>Weekday</v>
      </c>
    </row>
    <row r="68" spans="1:16" x14ac:dyDescent="0.3">
      <c r="A68">
        <v>1927972279</v>
      </c>
      <c r="B68" s="1">
        <v>42467</v>
      </c>
      <c r="C68">
        <v>768</v>
      </c>
      <c r="D68" t="s">
        <v>85</v>
      </c>
      <c r="E68" t="s">
        <v>85</v>
      </c>
      <c r="F68">
        <v>0</v>
      </c>
      <c r="G68">
        <v>0</v>
      </c>
      <c r="H68">
        <v>0</v>
      </c>
      <c r="I68" t="s">
        <v>85</v>
      </c>
      <c r="J68">
        <v>0</v>
      </c>
      <c r="K68">
        <v>0</v>
      </c>
      <c r="L68">
        <v>0</v>
      </c>
      <c r="M68">
        <v>43</v>
      </c>
      <c r="N68">
        <v>1397</v>
      </c>
      <c r="O68">
        <v>2130</v>
      </c>
      <c r="P68" t="str">
        <f t="shared" si="1"/>
        <v>Weekday</v>
      </c>
    </row>
    <row r="69" spans="1:16" x14ac:dyDescent="0.3">
      <c r="A69">
        <v>1927972279</v>
      </c>
      <c r="B69" s="1">
        <v>42468</v>
      </c>
      <c r="C69">
        <v>519</v>
      </c>
      <c r="D69" t="s">
        <v>155</v>
      </c>
      <c r="E69" t="s">
        <v>155</v>
      </c>
      <c r="F69">
        <v>0</v>
      </c>
      <c r="G69">
        <v>0</v>
      </c>
      <c r="H69">
        <v>0</v>
      </c>
      <c r="I69" t="s">
        <v>155</v>
      </c>
      <c r="J69">
        <v>0</v>
      </c>
      <c r="K69">
        <v>0</v>
      </c>
      <c r="L69">
        <v>0</v>
      </c>
      <c r="M69">
        <v>34</v>
      </c>
      <c r="N69">
        <v>1406</v>
      </c>
      <c r="O69">
        <v>2088</v>
      </c>
      <c r="P69" t="str">
        <f t="shared" si="1"/>
        <v>Weekday</v>
      </c>
    </row>
    <row r="70" spans="1:16" x14ac:dyDescent="0.3">
      <c r="A70">
        <v>1927972279</v>
      </c>
      <c r="B70" s="1">
        <v>42469</v>
      </c>
      <c r="C70">
        <v>2523</v>
      </c>
      <c r="D70" s="2">
        <v>27395</v>
      </c>
      <c r="E70" s="2">
        <v>27395</v>
      </c>
      <c r="F70">
        <v>0</v>
      </c>
      <c r="G70">
        <v>0</v>
      </c>
      <c r="H70" t="s">
        <v>141</v>
      </c>
      <c r="I70" t="s">
        <v>156</v>
      </c>
      <c r="J70">
        <v>0</v>
      </c>
      <c r="K70">
        <v>0</v>
      </c>
      <c r="L70">
        <v>9</v>
      </c>
      <c r="M70">
        <v>134</v>
      </c>
      <c r="N70">
        <v>1250</v>
      </c>
      <c r="O70">
        <v>2443</v>
      </c>
      <c r="P70" t="str">
        <f t="shared" si="1"/>
        <v>Weekend</v>
      </c>
    </row>
    <row r="71" spans="1:16" x14ac:dyDescent="0.3">
      <c r="A71">
        <v>1927972279</v>
      </c>
      <c r="B71" s="1">
        <v>42470</v>
      </c>
      <c r="C71">
        <v>2105</v>
      </c>
      <c r="D71" t="s">
        <v>157</v>
      </c>
      <c r="E71" t="s">
        <v>157</v>
      </c>
      <c r="F71">
        <v>0</v>
      </c>
      <c r="G71">
        <v>0</v>
      </c>
      <c r="H71">
        <v>0</v>
      </c>
      <c r="I71" t="s">
        <v>157</v>
      </c>
      <c r="J71">
        <v>0</v>
      </c>
      <c r="K71">
        <v>0</v>
      </c>
      <c r="L71">
        <v>0</v>
      </c>
      <c r="M71">
        <v>139</v>
      </c>
      <c r="N71">
        <v>805</v>
      </c>
      <c r="O71">
        <v>2442</v>
      </c>
      <c r="P71" t="str">
        <f t="shared" si="1"/>
        <v>Weekend</v>
      </c>
    </row>
    <row r="72" spans="1:16" x14ac:dyDescent="0.3">
      <c r="A72">
        <v>1927972279</v>
      </c>
      <c r="B72" s="1">
        <v>42471</v>
      </c>
      <c r="C72">
        <v>1209</v>
      </c>
      <c r="D72" t="s">
        <v>158</v>
      </c>
      <c r="E72" t="s">
        <v>158</v>
      </c>
      <c r="F72">
        <v>0</v>
      </c>
      <c r="G72">
        <v>0</v>
      </c>
      <c r="H72">
        <v>0</v>
      </c>
      <c r="I72" t="s">
        <v>158</v>
      </c>
      <c r="J72">
        <v>0</v>
      </c>
      <c r="K72">
        <v>0</v>
      </c>
      <c r="L72">
        <v>0</v>
      </c>
      <c r="M72">
        <v>73</v>
      </c>
      <c r="N72">
        <v>842</v>
      </c>
      <c r="O72">
        <v>2255</v>
      </c>
      <c r="P72" t="str">
        <f t="shared" si="1"/>
        <v>Weekday</v>
      </c>
    </row>
    <row r="73" spans="1:16" x14ac:dyDescent="0.3">
      <c r="A73">
        <v>1927972279</v>
      </c>
      <c r="B73" s="1">
        <v>42472</v>
      </c>
      <c r="C73">
        <v>24</v>
      </c>
      <c r="D73" t="s">
        <v>159</v>
      </c>
      <c r="E73" t="s">
        <v>159</v>
      </c>
      <c r="F73">
        <v>0</v>
      </c>
      <c r="G73">
        <v>0</v>
      </c>
      <c r="H73">
        <v>0</v>
      </c>
      <c r="I73" t="s">
        <v>159</v>
      </c>
      <c r="J73">
        <v>0</v>
      </c>
      <c r="K73">
        <v>0</v>
      </c>
      <c r="L73">
        <v>0</v>
      </c>
      <c r="M73">
        <v>3</v>
      </c>
      <c r="N73">
        <v>161</v>
      </c>
      <c r="O73">
        <v>942</v>
      </c>
      <c r="P73" t="str">
        <f t="shared" si="1"/>
        <v>Weekday</v>
      </c>
    </row>
    <row r="74" spans="1:16" x14ac:dyDescent="0.3">
      <c r="A74">
        <v>2022484408</v>
      </c>
      <c r="B74" s="1">
        <v>42461</v>
      </c>
      <c r="C74">
        <v>13603</v>
      </c>
      <c r="D74" t="s">
        <v>160</v>
      </c>
      <c r="E74" t="s">
        <v>160</v>
      </c>
      <c r="F74">
        <v>0</v>
      </c>
      <c r="G74" t="s">
        <v>161</v>
      </c>
      <c r="H74" t="s">
        <v>162</v>
      </c>
      <c r="I74" t="s">
        <v>144</v>
      </c>
      <c r="J74">
        <v>0</v>
      </c>
      <c r="K74">
        <v>72</v>
      </c>
      <c r="L74">
        <v>16</v>
      </c>
      <c r="M74">
        <v>213</v>
      </c>
      <c r="N74">
        <v>1139</v>
      </c>
      <c r="O74">
        <v>2645</v>
      </c>
      <c r="P74" t="str">
        <f t="shared" si="1"/>
        <v>Weekday</v>
      </c>
    </row>
    <row r="75" spans="1:16" x14ac:dyDescent="0.3">
      <c r="A75">
        <v>2022484408</v>
      </c>
      <c r="B75" s="1">
        <v>42462</v>
      </c>
      <c r="C75">
        <v>5477</v>
      </c>
      <c r="D75" t="s">
        <v>163</v>
      </c>
      <c r="E75" t="s">
        <v>163</v>
      </c>
      <c r="F75">
        <v>0</v>
      </c>
      <c r="G75">
        <v>0</v>
      </c>
      <c r="H75">
        <v>0</v>
      </c>
      <c r="I75" t="s">
        <v>163</v>
      </c>
      <c r="J75">
        <v>0</v>
      </c>
      <c r="K75">
        <v>0</v>
      </c>
      <c r="L75">
        <v>0</v>
      </c>
      <c r="M75">
        <v>237</v>
      </c>
      <c r="N75">
        <v>1203</v>
      </c>
      <c r="O75">
        <v>2040</v>
      </c>
      <c r="P75" t="str">
        <f t="shared" si="1"/>
        <v>Weekend</v>
      </c>
    </row>
    <row r="76" spans="1:16" x14ac:dyDescent="0.3">
      <c r="A76">
        <v>2022484408</v>
      </c>
      <c r="B76" s="1">
        <v>42463</v>
      </c>
      <c r="C76">
        <v>11144</v>
      </c>
      <c r="D76" t="s">
        <v>164</v>
      </c>
      <c r="E76" t="s">
        <v>164</v>
      </c>
      <c r="F76">
        <v>0</v>
      </c>
      <c r="G76" t="s">
        <v>165</v>
      </c>
      <c r="H76" t="s">
        <v>166</v>
      </c>
      <c r="I76" t="s">
        <v>167</v>
      </c>
      <c r="J76">
        <v>0</v>
      </c>
      <c r="K76">
        <v>25</v>
      </c>
      <c r="L76">
        <v>22</v>
      </c>
      <c r="M76">
        <v>279</v>
      </c>
      <c r="N76">
        <v>1114</v>
      </c>
      <c r="O76">
        <v>2395</v>
      </c>
      <c r="P76" t="str">
        <f t="shared" si="1"/>
        <v>Weekend</v>
      </c>
    </row>
    <row r="77" spans="1:16" x14ac:dyDescent="0.3">
      <c r="A77">
        <v>2022484408</v>
      </c>
      <c r="B77" s="1">
        <v>42464</v>
      </c>
      <c r="C77">
        <v>15313</v>
      </c>
      <c r="D77">
        <v>11</v>
      </c>
      <c r="E77">
        <v>11</v>
      </c>
      <c r="F77">
        <v>0</v>
      </c>
      <c r="G77" t="s">
        <v>168</v>
      </c>
      <c r="H77" t="s">
        <v>86</v>
      </c>
      <c r="I77" t="s">
        <v>169</v>
      </c>
      <c r="J77">
        <v>0</v>
      </c>
      <c r="K77">
        <v>62</v>
      </c>
      <c r="L77">
        <v>19</v>
      </c>
      <c r="M77">
        <v>233</v>
      </c>
      <c r="N77">
        <v>1126</v>
      </c>
      <c r="O77">
        <v>2581</v>
      </c>
      <c r="P77" t="str">
        <f t="shared" si="1"/>
        <v>Weekday</v>
      </c>
    </row>
    <row r="78" spans="1:16" x14ac:dyDescent="0.3">
      <c r="A78">
        <v>2022484408</v>
      </c>
      <c r="B78" s="1">
        <v>42465</v>
      </c>
      <c r="C78">
        <v>10805</v>
      </c>
      <c r="D78" t="s">
        <v>170</v>
      </c>
      <c r="E78" t="s">
        <v>170</v>
      </c>
      <c r="F78">
        <v>0</v>
      </c>
      <c r="G78" t="s">
        <v>98</v>
      </c>
      <c r="H78" t="s">
        <v>171</v>
      </c>
      <c r="I78" t="s">
        <v>172</v>
      </c>
      <c r="J78">
        <v>0</v>
      </c>
      <c r="K78">
        <v>36</v>
      </c>
      <c r="L78">
        <v>37</v>
      </c>
      <c r="M78">
        <v>298</v>
      </c>
      <c r="N78">
        <v>1069</v>
      </c>
      <c r="O78">
        <v>2735</v>
      </c>
      <c r="P78" t="str">
        <f t="shared" si="1"/>
        <v>Weekday</v>
      </c>
    </row>
    <row r="79" spans="1:16" x14ac:dyDescent="0.3">
      <c r="A79">
        <v>2022484408</v>
      </c>
      <c r="B79" s="1">
        <v>42466</v>
      </c>
      <c r="C79">
        <v>15392</v>
      </c>
      <c r="D79" t="s">
        <v>173</v>
      </c>
      <c r="E79" t="s">
        <v>173</v>
      </c>
      <c r="F79">
        <v>0</v>
      </c>
      <c r="G79" t="s">
        <v>174</v>
      </c>
      <c r="H79" s="2">
        <v>27395</v>
      </c>
      <c r="I79" s="2">
        <v>27515</v>
      </c>
      <c r="J79">
        <v>0</v>
      </c>
      <c r="K79">
        <v>47</v>
      </c>
      <c r="L79">
        <v>42</v>
      </c>
      <c r="M79">
        <v>258</v>
      </c>
      <c r="N79">
        <v>1093</v>
      </c>
      <c r="O79">
        <v>2733</v>
      </c>
      <c r="P79" t="str">
        <f t="shared" si="1"/>
        <v>Weekday</v>
      </c>
    </row>
    <row r="80" spans="1:16" x14ac:dyDescent="0.3">
      <c r="A80">
        <v>2022484408</v>
      </c>
      <c r="B80" s="1">
        <v>42467</v>
      </c>
      <c r="C80">
        <v>18247</v>
      </c>
      <c r="D80" t="s">
        <v>175</v>
      </c>
      <c r="E80" t="s">
        <v>175</v>
      </c>
      <c r="F80">
        <v>0</v>
      </c>
      <c r="G80" t="s">
        <v>15</v>
      </c>
      <c r="H80" t="s">
        <v>152</v>
      </c>
      <c r="I80" t="s">
        <v>176</v>
      </c>
      <c r="J80">
        <v>0</v>
      </c>
      <c r="K80">
        <v>72</v>
      </c>
      <c r="L80">
        <v>62</v>
      </c>
      <c r="M80">
        <v>252</v>
      </c>
      <c r="N80">
        <v>1054</v>
      </c>
      <c r="O80">
        <v>3021</v>
      </c>
      <c r="P80" t="str">
        <f t="shared" si="1"/>
        <v>Weekday</v>
      </c>
    </row>
    <row r="81" spans="1:16" x14ac:dyDescent="0.3">
      <c r="A81">
        <v>2022484408</v>
      </c>
      <c r="B81" s="1">
        <v>42468</v>
      </c>
      <c r="C81">
        <v>13023</v>
      </c>
      <c r="D81" t="s">
        <v>177</v>
      </c>
      <c r="E81" t="s">
        <v>177</v>
      </c>
      <c r="F81">
        <v>0</v>
      </c>
      <c r="G81" t="s">
        <v>178</v>
      </c>
      <c r="H81" t="s">
        <v>179</v>
      </c>
      <c r="I81" t="s">
        <v>180</v>
      </c>
      <c r="J81">
        <v>0</v>
      </c>
      <c r="K81">
        <v>40</v>
      </c>
      <c r="L81">
        <v>12</v>
      </c>
      <c r="M81">
        <v>296</v>
      </c>
      <c r="N81">
        <v>1092</v>
      </c>
      <c r="O81">
        <v>2577</v>
      </c>
      <c r="P81" t="str">
        <f t="shared" si="1"/>
        <v>Weekday</v>
      </c>
    </row>
    <row r="82" spans="1:16" x14ac:dyDescent="0.3">
      <c r="A82">
        <v>2022484408</v>
      </c>
      <c r="B82" s="1">
        <v>42469</v>
      </c>
      <c r="C82">
        <v>16267</v>
      </c>
      <c r="D82" t="s">
        <v>181</v>
      </c>
      <c r="E82" t="s">
        <v>181</v>
      </c>
      <c r="F82">
        <v>0</v>
      </c>
      <c r="G82" s="2">
        <v>27515</v>
      </c>
      <c r="H82" t="s">
        <v>104</v>
      </c>
      <c r="I82" t="s">
        <v>49</v>
      </c>
      <c r="J82">
        <v>0</v>
      </c>
      <c r="K82">
        <v>44</v>
      </c>
      <c r="L82">
        <v>16</v>
      </c>
      <c r="M82">
        <v>302</v>
      </c>
      <c r="N82">
        <v>1078</v>
      </c>
      <c r="O82">
        <v>2811</v>
      </c>
      <c r="P82" t="str">
        <f t="shared" si="1"/>
        <v>Weekend</v>
      </c>
    </row>
    <row r="83" spans="1:16" x14ac:dyDescent="0.3">
      <c r="A83">
        <v>2022484408</v>
      </c>
      <c r="B83" s="1">
        <v>42470</v>
      </c>
      <c r="C83">
        <v>10005</v>
      </c>
      <c r="D83" t="s">
        <v>182</v>
      </c>
      <c r="E83" t="s">
        <v>182</v>
      </c>
      <c r="F83">
        <v>0</v>
      </c>
      <c r="G83" t="s">
        <v>183</v>
      </c>
      <c r="H83" t="s">
        <v>184</v>
      </c>
      <c r="I83" t="s">
        <v>185</v>
      </c>
      <c r="J83">
        <v>0</v>
      </c>
      <c r="K83">
        <v>1</v>
      </c>
      <c r="L83">
        <v>23</v>
      </c>
      <c r="M83">
        <v>339</v>
      </c>
      <c r="N83">
        <v>1077</v>
      </c>
      <c r="O83">
        <v>2458</v>
      </c>
      <c r="P83" t="str">
        <f t="shared" si="1"/>
        <v>Weekend</v>
      </c>
    </row>
    <row r="84" spans="1:16" x14ac:dyDescent="0.3">
      <c r="A84">
        <v>2022484408</v>
      </c>
      <c r="B84" s="1">
        <v>42471</v>
      </c>
      <c r="C84">
        <v>10106</v>
      </c>
      <c r="D84" t="s">
        <v>186</v>
      </c>
      <c r="E84" t="s">
        <v>186</v>
      </c>
      <c r="F84">
        <v>0</v>
      </c>
      <c r="G84" t="s">
        <v>187</v>
      </c>
      <c r="H84" t="s">
        <v>179</v>
      </c>
      <c r="I84" t="s">
        <v>188</v>
      </c>
      <c r="J84">
        <v>0</v>
      </c>
      <c r="K84">
        <v>41</v>
      </c>
      <c r="L84">
        <v>16</v>
      </c>
      <c r="M84">
        <v>272</v>
      </c>
      <c r="N84">
        <v>1111</v>
      </c>
      <c r="O84">
        <v>2568</v>
      </c>
      <c r="P84" t="str">
        <f t="shared" si="1"/>
        <v>Weekday</v>
      </c>
    </row>
    <row r="85" spans="1:16" x14ac:dyDescent="0.3">
      <c r="A85">
        <v>2022484408</v>
      </c>
      <c r="B85" s="1">
        <v>42472</v>
      </c>
      <c r="C85">
        <v>6717</v>
      </c>
      <c r="D85" t="s">
        <v>189</v>
      </c>
      <c r="E85" t="s">
        <v>189</v>
      </c>
      <c r="F85">
        <v>0</v>
      </c>
      <c r="G85" t="s">
        <v>178</v>
      </c>
      <c r="H85" t="s">
        <v>190</v>
      </c>
      <c r="I85" t="s">
        <v>191</v>
      </c>
      <c r="J85">
        <v>0</v>
      </c>
      <c r="K85">
        <v>41</v>
      </c>
      <c r="L85">
        <v>5</v>
      </c>
      <c r="M85">
        <v>67</v>
      </c>
      <c r="N85">
        <v>551</v>
      </c>
      <c r="O85">
        <v>1140</v>
      </c>
      <c r="P85" t="str">
        <f t="shared" si="1"/>
        <v>Weekday</v>
      </c>
    </row>
    <row r="86" spans="1:16" x14ac:dyDescent="0.3">
      <c r="A86">
        <v>2026352035</v>
      </c>
      <c r="B86" s="1">
        <v>42461</v>
      </c>
      <c r="C86">
        <v>2605</v>
      </c>
      <c r="D86" t="s">
        <v>192</v>
      </c>
      <c r="E86" t="s">
        <v>192</v>
      </c>
      <c r="F86">
        <v>0</v>
      </c>
      <c r="G86">
        <v>0</v>
      </c>
      <c r="H86">
        <v>0</v>
      </c>
      <c r="I86" t="s">
        <v>192</v>
      </c>
      <c r="J86">
        <v>0</v>
      </c>
      <c r="K86">
        <v>0</v>
      </c>
      <c r="L86">
        <v>0</v>
      </c>
      <c r="M86">
        <v>166</v>
      </c>
      <c r="N86">
        <v>729</v>
      </c>
      <c r="O86">
        <v>1407</v>
      </c>
      <c r="P86" t="str">
        <f t="shared" si="1"/>
        <v>Weekday</v>
      </c>
    </row>
    <row r="87" spans="1:16" x14ac:dyDescent="0.3">
      <c r="A87">
        <v>2026352035</v>
      </c>
      <c r="B87" s="1">
        <v>42462</v>
      </c>
      <c r="C87">
        <v>1229</v>
      </c>
      <c r="D87" t="s">
        <v>59</v>
      </c>
      <c r="E87" t="s">
        <v>59</v>
      </c>
      <c r="F87">
        <v>0</v>
      </c>
      <c r="G87">
        <v>0</v>
      </c>
      <c r="H87">
        <v>0</v>
      </c>
      <c r="I87" t="s">
        <v>59</v>
      </c>
      <c r="J87">
        <v>0</v>
      </c>
      <c r="K87">
        <v>0</v>
      </c>
      <c r="L87">
        <v>0</v>
      </c>
      <c r="M87">
        <v>69</v>
      </c>
      <c r="N87">
        <v>795</v>
      </c>
      <c r="O87">
        <v>1237</v>
      </c>
      <c r="P87" t="str">
        <f t="shared" si="1"/>
        <v>Weekend</v>
      </c>
    </row>
    <row r="88" spans="1:16" x14ac:dyDescent="0.3">
      <c r="A88">
        <v>2026352035</v>
      </c>
      <c r="B88" s="1">
        <v>42463</v>
      </c>
      <c r="C88">
        <v>2308</v>
      </c>
      <c r="D88" t="s">
        <v>193</v>
      </c>
      <c r="E88" t="s">
        <v>193</v>
      </c>
      <c r="F88">
        <v>0</v>
      </c>
      <c r="G88">
        <v>0</v>
      </c>
      <c r="H88">
        <v>0</v>
      </c>
      <c r="I88" t="s">
        <v>193</v>
      </c>
      <c r="J88">
        <v>0</v>
      </c>
      <c r="K88">
        <v>0</v>
      </c>
      <c r="L88">
        <v>0</v>
      </c>
      <c r="M88">
        <v>115</v>
      </c>
      <c r="N88">
        <v>720</v>
      </c>
      <c r="O88">
        <v>1330</v>
      </c>
      <c r="P88" t="str">
        <f t="shared" si="1"/>
        <v>Weekend</v>
      </c>
    </row>
    <row r="89" spans="1:16" x14ac:dyDescent="0.3">
      <c r="A89">
        <v>2026352035</v>
      </c>
      <c r="B89" s="1">
        <v>42464</v>
      </c>
      <c r="C89">
        <v>6679</v>
      </c>
      <c r="D89" t="s">
        <v>194</v>
      </c>
      <c r="E89" t="s">
        <v>194</v>
      </c>
      <c r="F89">
        <v>0</v>
      </c>
      <c r="G89">
        <v>0</v>
      </c>
      <c r="H89">
        <v>0</v>
      </c>
      <c r="I89" t="s">
        <v>194</v>
      </c>
      <c r="J89">
        <v>0</v>
      </c>
      <c r="K89">
        <v>0</v>
      </c>
      <c r="L89">
        <v>0</v>
      </c>
      <c r="M89">
        <v>263</v>
      </c>
      <c r="N89">
        <v>644</v>
      </c>
      <c r="O89">
        <v>1583</v>
      </c>
      <c r="P89" t="str">
        <f t="shared" si="1"/>
        <v>Weekday</v>
      </c>
    </row>
    <row r="90" spans="1:16" x14ac:dyDescent="0.3">
      <c r="A90">
        <v>2026352035</v>
      </c>
      <c r="B90" s="1">
        <v>42465</v>
      </c>
      <c r="C90">
        <v>5645</v>
      </c>
      <c r="D90" s="3">
        <v>46145</v>
      </c>
      <c r="E90" s="3">
        <v>46145</v>
      </c>
      <c r="F90">
        <v>0</v>
      </c>
      <c r="G90">
        <v>0</v>
      </c>
      <c r="H90">
        <v>0</v>
      </c>
      <c r="I90" s="3">
        <v>46145</v>
      </c>
      <c r="J90">
        <v>0</v>
      </c>
      <c r="K90">
        <v>0</v>
      </c>
      <c r="L90">
        <v>0</v>
      </c>
      <c r="M90">
        <v>248</v>
      </c>
      <c r="N90">
        <v>621</v>
      </c>
      <c r="O90">
        <v>1538</v>
      </c>
      <c r="P90" t="str">
        <f t="shared" si="1"/>
        <v>Weekday</v>
      </c>
    </row>
    <row r="91" spans="1:16" x14ac:dyDescent="0.3">
      <c r="A91">
        <v>2026352035</v>
      </c>
      <c r="B91" s="1">
        <v>42466</v>
      </c>
      <c r="C91">
        <v>3180</v>
      </c>
      <c r="D91" t="s">
        <v>195</v>
      </c>
      <c r="E91" t="s">
        <v>195</v>
      </c>
      <c r="F91">
        <v>0</v>
      </c>
      <c r="G91">
        <v>0</v>
      </c>
      <c r="H91">
        <v>0</v>
      </c>
      <c r="I91" t="s">
        <v>195</v>
      </c>
      <c r="J91">
        <v>0</v>
      </c>
      <c r="K91">
        <v>0</v>
      </c>
      <c r="L91">
        <v>0</v>
      </c>
      <c r="M91">
        <v>185</v>
      </c>
      <c r="N91">
        <v>738</v>
      </c>
      <c r="O91">
        <v>1421</v>
      </c>
      <c r="P91" t="str">
        <f t="shared" si="1"/>
        <v>Weekday</v>
      </c>
    </row>
    <row r="92" spans="1:16" x14ac:dyDescent="0.3">
      <c r="A92">
        <v>2026352035</v>
      </c>
      <c r="B92" s="1">
        <v>42467</v>
      </c>
      <c r="C92">
        <v>2767</v>
      </c>
      <c r="D92" t="s">
        <v>196</v>
      </c>
      <c r="E92" t="s">
        <v>196</v>
      </c>
      <c r="F92">
        <v>0</v>
      </c>
      <c r="G92">
        <v>0</v>
      </c>
      <c r="H92">
        <v>0</v>
      </c>
      <c r="I92" t="s">
        <v>196</v>
      </c>
      <c r="J92">
        <v>0</v>
      </c>
      <c r="K92">
        <v>0</v>
      </c>
      <c r="L92">
        <v>0</v>
      </c>
      <c r="M92">
        <v>170</v>
      </c>
      <c r="N92">
        <v>673</v>
      </c>
      <c r="O92">
        <v>1392</v>
      </c>
      <c r="P92" t="str">
        <f t="shared" si="1"/>
        <v>Weekday</v>
      </c>
    </row>
    <row r="93" spans="1:16" x14ac:dyDescent="0.3">
      <c r="A93">
        <v>2026352035</v>
      </c>
      <c r="B93" s="1">
        <v>42468</v>
      </c>
      <c r="C93">
        <v>3762</v>
      </c>
      <c r="D93" t="s">
        <v>197</v>
      </c>
      <c r="E93" t="s">
        <v>197</v>
      </c>
      <c r="F93">
        <v>0</v>
      </c>
      <c r="G93">
        <v>0</v>
      </c>
      <c r="H93">
        <v>0</v>
      </c>
      <c r="I93" t="s">
        <v>197</v>
      </c>
      <c r="J93">
        <v>0</v>
      </c>
      <c r="K93">
        <v>0</v>
      </c>
      <c r="L93">
        <v>0</v>
      </c>
      <c r="M93">
        <v>173</v>
      </c>
      <c r="N93">
        <v>719</v>
      </c>
      <c r="O93">
        <v>1425</v>
      </c>
      <c r="P93" t="str">
        <f t="shared" si="1"/>
        <v>Weekday</v>
      </c>
    </row>
    <row r="94" spans="1:16" x14ac:dyDescent="0.3">
      <c r="A94">
        <v>2026352035</v>
      </c>
      <c r="B94" s="1">
        <v>42469</v>
      </c>
      <c r="C94">
        <v>3098</v>
      </c>
      <c r="D94" t="s">
        <v>198</v>
      </c>
      <c r="E94" t="s">
        <v>198</v>
      </c>
      <c r="F94">
        <v>0</v>
      </c>
      <c r="G94">
        <v>0</v>
      </c>
      <c r="H94">
        <v>0</v>
      </c>
      <c r="I94" t="s">
        <v>198</v>
      </c>
      <c r="J94">
        <v>0</v>
      </c>
      <c r="K94">
        <v>0</v>
      </c>
      <c r="L94">
        <v>0</v>
      </c>
      <c r="M94">
        <v>185</v>
      </c>
      <c r="N94">
        <v>700</v>
      </c>
      <c r="O94">
        <v>1413</v>
      </c>
      <c r="P94" t="str">
        <f t="shared" si="1"/>
        <v>Weekend</v>
      </c>
    </row>
    <row r="95" spans="1:16" x14ac:dyDescent="0.3">
      <c r="A95">
        <v>2026352035</v>
      </c>
      <c r="B95" s="1">
        <v>42470</v>
      </c>
      <c r="C95">
        <v>5142</v>
      </c>
      <c r="D95" t="s">
        <v>28</v>
      </c>
      <c r="E95" t="s">
        <v>28</v>
      </c>
      <c r="F95">
        <v>0</v>
      </c>
      <c r="G95">
        <v>0</v>
      </c>
      <c r="H95">
        <v>0</v>
      </c>
      <c r="I95" t="s">
        <v>28</v>
      </c>
      <c r="J95">
        <v>0</v>
      </c>
      <c r="K95">
        <v>0</v>
      </c>
      <c r="L95">
        <v>0</v>
      </c>
      <c r="M95">
        <v>230</v>
      </c>
      <c r="N95">
        <v>654</v>
      </c>
      <c r="O95">
        <v>1515</v>
      </c>
      <c r="P95" t="str">
        <f t="shared" si="1"/>
        <v>Weekend</v>
      </c>
    </row>
    <row r="96" spans="1:16" x14ac:dyDescent="0.3">
      <c r="A96">
        <v>2026352035</v>
      </c>
      <c r="B96" s="1">
        <v>42471</v>
      </c>
      <c r="C96">
        <v>3279</v>
      </c>
      <c r="D96" t="s">
        <v>199</v>
      </c>
      <c r="E96" t="s">
        <v>199</v>
      </c>
      <c r="F96">
        <v>0</v>
      </c>
      <c r="G96">
        <v>0</v>
      </c>
      <c r="H96">
        <v>0</v>
      </c>
      <c r="I96" t="s">
        <v>199</v>
      </c>
      <c r="J96">
        <v>0</v>
      </c>
      <c r="K96">
        <v>0</v>
      </c>
      <c r="L96">
        <v>0</v>
      </c>
      <c r="M96">
        <v>164</v>
      </c>
      <c r="N96">
        <v>694</v>
      </c>
      <c r="O96">
        <v>1405</v>
      </c>
      <c r="P96" t="str">
        <f t="shared" si="1"/>
        <v>Weekday</v>
      </c>
    </row>
    <row r="97" spans="1:16" x14ac:dyDescent="0.3">
      <c r="A97">
        <v>2026352035</v>
      </c>
      <c r="B97" s="1">
        <v>42472</v>
      </c>
      <c r="C97">
        <v>1019</v>
      </c>
      <c r="D97" t="s">
        <v>162</v>
      </c>
      <c r="E97" t="s">
        <v>162</v>
      </c>
      <c r="F97">
        <v>0</v>
      </c>
      <c r="G97">
        <v>0</v>
      </c>
      <c r="H97">
        <v>0</v>
      </c>
      <c r="I97" t="s">
        <v>162</v>
      </c>
      <c r="J97">
        <v>0</v>
      </c>
      <c r="K97">
        <v>0</v>
      </c>
      <c r="L97">
        <v>0</v>
      </c>
      <c r="M97">
        <v>64</v>
      </c>
      <c r="N97">
        <v>223</v>
      </c>
      <c r="O97">
        <v>600</v>
      </c>
      <c r="P97" t="str">
        <f t="shared" si="1"/>
        <v>Weekday</v>
      </c>
    </row>
    <row r="98" spans="1:16" hidden="1" x14ac:dyDescent="0.3">
      <c r="A98">
        <v>2320127002</v>
      </c>
      <c r="B98" s="1">
        <v>42461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1440</v>
      </c>
      <c r="O98">
        <v>1324</v>
      </c>
      <c r="P98" t="str">
        <f t="shared" si="1"/>
        <v>Weekday</v>
      </c>
    </row>
    <row r="99" spans="1:16" hidden="1" x14ac:dyDescent="0.3">
      <c r="A99">
        <v>2320127002</v>
      </c>
      <c r="B99" s="1">
        <v>42462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1440</v>
      </c>
      <c r="O99">
        <v>1324</v>
      </c>
      <c r="P99" t="str">
        <f t="shared" si="1"/>
        <v>Weekend</v>
      </c>
    </row>
    <row r="100" spans="1:16" hidden="1" x14ac:dyDescent="0.3">
      <c r="A100">
        <v>2320127002</v>
      </c>
      <c r="B100" s="1">
        <v>42463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1440</v>
      </c>
      <c r="O100">
        <v>1324</v>
      </c>
      <c r="P100" t="str">
        <f t="shared" si="1"/>
        <v>Weekend</v>
      </c>
    </row>
    <row r="101" spans="1:16" hidden="1" x14ac:dyDescent="0.3">
      <c r="A101">
        <v>2320127002</v>
      </c>
      <c r="B101" s="1">
        <v>42464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1440</v>
      </c>
      <c r="O101">
        <v>1324</v>
      </c>
      <c r="P101" t="str">
        <f t="shared" si="1"/>
        <v>Weekday</v>
      </c>
    </row>
    <row r="102" spans="1:16" x14ac:dyDescent="0.3">
      <c r="A102">
        <v>2320127002</v>
      </c>
      <c r="B102" s="1">
        <v>42465</v>
      </c>
      <c r="C102">
        <v>4931</v>
      </c>
      <c r="D102" t="s">
        <v>44</v>
      </c>
      <c r="E102" t="s">
        <v>44</v>
      </c>
      <c r="F102">
        <v>0</v>
      </c>
      <c r="G102">
        <v>0</v>
      </c>
      <c r="H102">
        <v>0</v>
      </c>
      <c r="I102" t="s">
        <v>44</v>
      </c>
      <c r="J102">
        <v>0</v>
      </c>
      <c r="K102">
        <v>0</v>
      </c>
      <c r="L102">
        <v>0</v>
      </c>
      <c r="M102">
        <v>175</v>
      </c>
      <c r="N102">
        <v>1265</v>
      </c>
      <c r="O102">
        <v>1708</v>
      </c>
      <c r="P102" t="str">
        <f t="shared" si="1"/>
        <v>Weekday</v>
      </c>
    </row>
    <row r="103" spans="1:16" x14ac:dyDescent="0.3">
      <c r="A103">
        <v>2320127002</v>
      </c>
      <c r="B103" s="1">
        <v>42466</v>
      </c>
      <c r="C103">
        <v>6999</v>
      </c>
      <c r="D103" t="s">
        <v>189</v>
      </c>
      <c r="E103" t="s">
        <v>189</v>
      </c>
      <c r="F103">
        <v>0</v>
      </c>
      <c r="G103">
        <v>0</v>
      </c>
      <c r="H103">
        <v>0</v>
      </c>
      <c r="I103" t="s">
        <v>189</v>
      </c>
      <c r="J103">
        <v>0</v>
      </c>
      <c r="K103">
        <v>0</v>
      </c>
      <c r="L103">
        <v>0</v>
      </c>
      <c r="M103">
        <v>320</v>
      </c>
      <c r="N103">
        <v>1120</v>
      </c>
      <c r="O103">
        <v>1950</v>
      </c>
      <c r="P103" t="str">
        <f t="shared" si="1"/>
        <v>Weekday</v>
      </c>
    </row>
    <row r="104" spans="1:16" x14ac:dyDescent="0.3">
      <c r="A104">
        <v>2320127002</v>
      </c>
      <c r="B104" s="1">
        <v>42467</v>
      </c>
      <c r="C104">
        <v>1846</v>
      </c>
      <c r="D104" t="s">
        <v>87</v>
      </c>
      <c r="E104" t="s">
        <v>87</v>
      </c>
      <c r="F104">
        <v>0</v>
      </c>
      <c r="G104">
        <v>0</v>
      </c>
      <c r="H104">
        <v>0</v>
      </c>
      <c r="I104" t="s">
        <v>87</v>
      </c>
      <c r="J104">
        <v>0</v>
      </c>
      <c r="K104">
        <v>0</v>
      </c>
      <c r="L104">
        <v>0</v>
      </c>
      <c r="M104">
        <v>93</v>
      </c>
      <c r="N104">
        <v>1347</v>
      </c>
      <c r="O104">
        <v>1508</v>
      </c>
      <c r="P104" t="str">
        <f t="shared" si="1"/>
        <v>Weekday</v>
      </c>
    </row>
    <row r="105" spans="1:16" x14ac:dyDescent="0.3">
      <c r="A105">
        <v>2320127002</v>
      </c>
      <c r="B105" s="1">
        <v>42468</v>
      </c>
      <c r="C105">
        <v>3417</v>
      </c>
      <c r="D105" t="s">
        <v>200</v>
      </c>
      <c r="E105" t="s">
        <v>200</v>
      </c>
      <c r="F105">
        <v>0</v>
      </c>
      <c r="G105">
        <v>0</v>
      </c>
      <c r="H105">
        <v>0</v>
      </c>
      <c r="I105" t="s">
        <v>200</v>
      </c>
      <c r="J105">
        <v>0</v>
      </c>
      <c r="K105">
        <v>0</v>
      </c>
      <c r="L105">
        <v>0</v>
      </c>
      <c r="M105">
        <v>153</v>
      </c>
      <c r="N105">
        <v>1287</v>
      </c>
      <c r="O105">
        <v>1625</v>
      </c>
      <c r="P105" t="str">
        <f t="shared" si="1"/>
        <v>Weekday</v>
      </c>
    </row>
    <row r="106" spans="1:16" x14ac:dyDescent="0.3">
      <c r="A106">
        <v>2320127002</v>
      </c>
      <c r="B106" s="1">
        <v>42469</v>
      </c>
      <c r="C106">
        <v>4863</v>
      </c>
      <c r="D106" t="s">
        <v>201</v>
      </c>
      <c r="E106" t="s">
        <v>201</v>
      </c>
      <c r="F106">
        <v>0</v>
      </c>
      <c r="G106" t="s">
        <v>202</v>
      </c>
      <c r="H106" t="s">
        <v>203</v>
      </c>
      <c r="I106" t="s">
        <v>204</v>
      </c>
      <c r="J106">
        <v>0</v>
      </c>
      <c r="K106">
        <v>1</v>
      </c>
      <c r="L106">
        <v>11</v>
      </c>
      <c r="M106">
        <v>208</v>
      </c>
      <c r="N106">
        <v>1220</v>
      </c>
      <c r="O106">
        <v>1772</v>
      </c>
      <c r="P106" t="str">
        <f t="shared" si="1"/>
        <v>Weekend</v>
      </c>
    </row>
    <row r="107" spans="1:16" x14ac:dyDescent="0.3">
      <c r="A107">
        <v>2320127002</v>
      </c>
      <c r="B107" s="1">
        <v>42470</v>
      </c>
      <c r="C107">
        <v>2277</v>
      </c>
      <c r="D107" t="s">
        <v>205</v>
      </c>
      <c r="E107" t="s">
        <v>205</v>
      </c>
      <c r="F107">
        <v>0</v>
      </c>
      <c r="G107">
        <v>0</v>
      </c>
      <c r="H107">
        <v>0</v>
      </c>
      <c r="I107" t="s">
        <v>205</v>
      </c>
      <c r="J107">
        <v>0</v>
      </c>
      <c r="K107">
        <v>0</v>
      </c>
      <c r="L107">
        <v>0</v>
      </c>
      <c r="M107">
        <v>103</v>
      </c>
      <c r="N107">
        <v>1337</v>
      </c>
      <c r="O107">
        <v>1530</v>
      </c>
      <c r="P107" t="str">
        <f t="shared" si="1"/>
        <v>Weekend</v>
      </c>
    </row>
    <row r="108" spans="1:16" x14ac:dyDescent="0.3">
      <c r="A108">
        <v>2320127002</v>
      </c>
      <c r="B108" s="1">
        <v>42471</v>
      </c>
      <c r="C108">
        <v>11230</v>
      </c>
      <c r="D108" t="s">
        <v>61</v>
      </c>
      <c r="E108" t="s">
        <v>61</v>
      </c>
      <c r="F108">
        <v>0</v>
      </c>
      <c r="G108" t="s">
        <v>166</v>
      </c>
      <c r="H108" t="s">
        <v>206</v>
      </c>
      <c r="I108" t="s">
        <v>207</v>
      </c>
      <c r="J108">
        <v>0</v>
      </c>
      <c r="K108">
        <v>10</v>
      </c>
      <c r="L108">
        <v>2</v>
      </c>
      <c r="M108">
        <v>390</v>
      </c>
      <c r="N108">
        <v>1038</v>
      </c>
      <c r="O108">
        <v>2206</v>
      </c>
      <c r="P108" t="str">
        <f t="shared" si="1"/>
        <v>Weekday</v>
      </c>
    </row>
    <row r="109" spans="1:16" x14ac:dyDescent="0.3">
      <c r="A109">
        <v>2320127002</v>
      </c>
      <c r="B109" s="1">
        <v>42472</v>
      </c>
      <c r="C109">
        <v>2098</v>
      </c>
      <c r="D109" t="s">
        <v>208</v>
      </c>
      <c r="E109" t="s">
        <v>208</v>
      </c>
      <c r="F109">
        <v>0</v>
      </c>
      <c r="G109">
        <v>0</v>
      </c>
      <c r="H109">
        <v>0</v>
      </c>
      <c r="I109" t="s">
        <v>208</v>
      </c>
      <c r="J109">
        <v>0</v>
      </c>
      <c r="K109">
        <v>0</v>
      </c>
      <c r="L109">
        <v>0</v>
      </c>
      <c r="M109">
        <v>69</v>
      </c>
      <c r="N109">
        <v>617</v>
      </c>
      <c r="O109">
        <v>790</v>
      </c>
      <c r="P109" t="str">
        <f t="shared" si="1"/>
        <v>Weekday</v>
      </c>
    </row>
    <row r="110" spans="1:16" x14ac:dyDescent="0.3">
      <c r="A110">
        <v>2347167796</v>
      </c>
      <c r="B110" s="1">
        <v>42458</v>
      </c>
      <c r="C110">
        <v>10272</v>
      </c>
      <c r="D110" t="s">
        <v>209</v>
      </c>
      <c r="E110" t="s">
        <v>209</v>
      </c>
      <c r="F110">
        <v>0</v>
      </c>
      <c r="G110" t="s">
        <v>25</v>
      </c>
      <c r="H110" t="s">
        <v>210</v>
      </c>
      <c r="I110" s="3">
        <v>46145</v>
      </c>
      <c r="J110">
        <v>0</v>
      </c>
      <c r="K110">
        <v>2</v>
      </c>
      <c r="L110">
        <v>58</v>
      </c>
      <c r="M110">
        <v>208</v>
      </c>
      <c r="N110">
        <v>700</v>
      </c>
      <c r="O110">
        <v>2041</v>
      </c>
      <c r="P110" t="str">
        <f t="shared" si="1"/>
        <v>Weekday</v>
      </c>
    </row>
    <row r="111" spans="1:16" x14ac:dyDescent="0.3">
      <c r="A111">
        <v>2347167796</v>
      </c>
      <c r="B111" s="1">
        <v>42459</v>
      </c>
      <c r="C111">
        <v>10533</v>
      </c>
      <c r="D111" t="s">
        <v>211</v>
      </c>
      <c r="E111" t="s">
        <v>211</v>
      </c>
      <c r="F111">
        <v>0</v>
      </c>
      <c r="G111" t="s">
        <v>212</v>
      </c>
      <c r="H111" t="s">
        <v>213</v>
      </c>
      <c r="I111" t="s">
        <v>214</v>
      </c>
      <c r="J111">
        <v>0</v>
      </c>
      <c r="K111">
        <v>21</v>
      </c>
      <c r="L111">
        <v>35</v>
      </c>
      <c r="M111">
        <v>255</v>
      </c>
      <c r="N111">
        <v>615</v>
      </c>
      <c r="O111">
        <v>2187</v>
      </c>
      <c r="P111" t="str">
        <f t="shared" si="1"/>
        <v>Weekday</v>
      </c>
    </row>
    <row r="112" spans="1:16" x14ac:dyDescent="0.3">
      <c r="A112">
        <v>2347167796</v>
      </c>
      <c r="B112" s="1">
        <v>42460</v>
      </c>
      <c r="C112">
        <v>6760</v>
      </c>
      <c r="D112" t="s">
        <v>215</v>
      </c>
      <c r="E112" t="s">
        <v>215</v>
      </c>
      <c r="F112">
        <v>0</v>
      </c>
      <c r="G112">
        <v>0</v>
      </c>
      <c r="H112">
        <v>0</v>
      </c>
      <c r="I112" t="s">
        <v>215</v>
      </c>
      <c r="J112">
        <v>0</v>
      </c>
      <c r="K112">
        <v>0</v>
      </c>
      <c r="L112">
        <v>0</v>
      </c>
      <c r="M112">
        <v>250</v>
      </c>
      <c r="N112">
        <v>613</v>
      </c>
      <c r="O112">
        <v>1929</v>
      </c>
      <c r="P112" t="str">
        <f t="shared" si="1"/>
        <v>Weekday</v>
      </c>
    </row>
    <row r="113" spans="1:16" x14ac:dyDescent="0.3">
      <c r="A113">
        <v>2347167796</v>
      </c>
      <c r="B113" s="1">
        <v>42461</v>
      </c>
      <c r="C113">
        <v>8328</v>
      </c>
      <c r="D113" t="s">
        <v>216</v>
      </c>
      <c r="E113" t="s">
        <v>216</v>
      </c>
      <c r="F113">
        <v>0</v>
      </c>
      <c r="G113">
        <v>0</v>
      </c>
      <c r="H113">
        <v>2</v>
      </c>
      <c r="I113" s="3">
        <v>46145</v>
      </c>
      <c r="J113">
        <v>0</v>
      </c>
      <c r="K113">
        <v>0</v>
      </c>
      <c r="L113">
        <v>33</v>
      </c>
      <c r="M113">
        <v>212</v>
      </c>
      <c r="N113">
        <v>804</v>
      </c>
      <c r="O113">
        <v>1935</v>
      </c>
      <c r="P113" t="str">
        <f t="shared" si="1"/>
        <v>Weekday</v>
      </c>
    </row>
    <row r="114" spans="1:16" x14ac:dyDescent="0.3">
      <c r="A114">
        <v>2347167796</v>
      </c>
      <c r="B114" s="1">
        <v>42462</v>
      </c>
      <c r="C114">
        <v>15459</v>
      </c>
      <c r="D114" t="s">
        <v>217</v>
      </c>
      <c r="E114" t="s">
        <v>217</v>
      </c>
      <c r="F114">
        <v>0</v>
      </c>
      <c r="G114" t="s">
        <v>148</v>
      </c>
      <c r="H114" t="s">
        <v>218</v>
      </c>
      <c r="I114" t="s">
        <v>219</v>
      </c>
      <c r="J114">
        <v>0</v>
      </c>
      <c r="K114">
        <v>51</v>
      </c>
      <c r="L114">
        <v>16</v>
      </c>
      <c r="M114">
        <v>327</v>
      </c>
      <c r="N114">
        <v>583</v>
      </c>
      <c r="O114">
        <v>2438</v>
      </c>
      <c r="P114" t="str">
        <f t="shared" si="1"/>
        <v>Weekend</v>
      </c>
    </row>
    <row r="115" spans="1:16" x14ac:dyDescent="0.3">
      <c r="A115">
        <v>2347167796</v>
      </c>
      <c r="B115" s="1">
        <v>42463</v>
      </c>
      <c r="C115">
        <v>7485</v>
      </c>
      <c r="D115" t="s">
        <v>30</v>
      </c>
      <c r="E115" t="s">
        <v>30</v>
      </c>
      <c r="F115">
        <v>0</v>
      </c>
      <c r="G115">
        <v>0</v>
      </c>
      <c r="H115">
        <v>0</v>
      </c>
      <c r="I115" t="s">
        <v>30</v>
      </c>
      <c r="J115">
        <v>0</v>
      </c>
      <c r="K115">
        <v>0</v>
      </c>
      <c r="L115">
        <v>0</v>
      </c>
      <c r="M115">
        <v>324</v>
      </c>
      <c r="N115">
        <v>491</v>
      </c>
      <c r="O115">
        <v>2035</v>
      </c>
      <c r="P115" t="str">
        <f t="shared" si="1"/>
        <v>Weekend</v>
      </c>
    </row>
    <row r="116" spans="1:16" x14ac:dyDescent="0.3">
      <c r="A116">
        <v>2347167796</v>
      </c>
      <c r="B116" s="1">
        <v>42464</v>
      </c>
      <c r="C116">
        <v>10254</v>
      </c>
      <c r="D116" t="s">
        <v>220</v>
      </c>
      <c r="E116" t="s">
        <v>220</v>
      </c>
      <c r="F116">
        <v>0</v>
      </c>
      <c r="G116" t="s">
        <v>221</v>
      </c>
      <c r="H116" t="s">
        <v>222</v>
      </c>
      <c r="I116" t="s">
        <v>223</v>
      </c>
      <c r="J116">
        <v>0</v>
      </c>
      <c r="K116">
        <v>21</v>
      </c>
      <c r="L116">
        <v>25</v>
      </c>
      <c r="M116">
        <v>231</v>
      </c>
      <c r="N116">
        <v>638</v>
      </c>
      <c r="O116">
        <v>2099</v>
      </c>
      <c r="P116" t="str">
        <f t="shared" si="1"/>
        <v>Weekday</v>
      </c>
    </row>
    <row r="117" spans="1:16" x14ac:dyDescent="0.3">
      <c r="A117">
        <v>2347167796</v>
      </c>
      <c r="B117" s="1">
        <v>42465</v>
      </c>
      <c r="C117">
        <v>10114</v>
      </c>
      <c r="D117" t="s">
        <v>224</v>
      </c>
      <c r="E117" t="s">
        <v>224</v>
      </c>
      <c r="F117">
        <v>0</v>
      </c>
      <c r="G117" t="s">
        <v>225</v>
      </c>
      <c r="H117" t="s">
        <v>63</v>
      </c>
      <c r="I117" t="s">
        <v>226</v>
      </c>
      <c r="J117">
        <v>0</v>
      </c>
      <c r="K117">
        <v>18</v>
      </c>
      <c r="L117">
        <v>9</v>
      </c>
      <c r="M117">
        <v>269</v>
      </c>
      <c r="N117">
        <v>696</v>
      </c>
      <c r="O117">
        <v>2096</v>
      </c>
      <c r="P117" t="str">
        <f t="shared" si="1"/>
        <v>Weekday</v>
      </c>
    </row>
    <row r="118" spans="1:16" x14ac:dyDescent="0.3">
      <c r="A118">
        <v>2347167796</v>
      </c>
      <c r="B118" s="1">
        <v>42466</v>
      </c>
      <c r="C118">
        <v>11107</v>
      </c>
      <c r="D118" t="s">
        <v>227</v>
      </c>
      <c r="E118" t="s">
        <v>227</v>
      </c>
      <c r="F118">
        <v>0</v>
      </c>
      <c r="G118" t="s">
        <v>70</v>
      </c>
      <c r="H118" t="s">
        <v>228</v>
      </c>
      <c r="I118" t="s">
        <v>229</v>
      </c>
      <c r="J118">
        <v>0</v>
      </c>
      <c r="K118">
        <v>14</v>
      </c>
      <c r="L118">
        <v>46</v>
      </c>
      <c r="M118">
        <v>196</v>
      </c>
      <c r="N118">
        <v>759</v>
      </c>
      <c r="O118">
        <v>2058</v>
      </c>
      <c r="P118" t="str">
        <f t="shared" si="1"/>
        <v>Weekday</v>
      </c>
    </row>
    <row r="119" spans="1:16" x14ac:dyDescent="0.3">
      <c r="A119">
        <v>2347167796</v>
      </c>
      <c r="B119" s="1">
        <v>42467</v>
      </c>
      <c r="C119">
        <v>10320</v>
      </c>
      <c r="D119" t="s">
        <v>230</v>
      </c>
      <c r="E119" t="s">
        <v>230</v>
      </c>
      <c r="F119">
        <v>0</v>
      </c>
      <c r="G119" t="s">
        <v>231</v>
      </c>
      <c r="H119" t="s">
        <v>222</v>
      </c>
      <c r="I119" t="s">
        <v>232</v>
      </c>
      <c r="J119">
        <v>0</v>
      </c>
      <c r="K119">
        <v>15</v>
      </c>
      <c r="L119">
        <v>32</v>
      </c>
      <c r="M119">
        <v>315</v>
      </c>
      <c r="N119">
        <v>1002</v>
      </c>
      <c r="O119">
        <v>2338</v>
      </c>
      <c r="P119" t="str">
        <f t="shared" si="1"/>
        <v>Weekday</v>
      </c>
    </row>
    <row r="120" spans="1:16" x14ac:dyDescent="0.3">
      <c r="A120">
        <v>2347167796</v>
      </c>
      <c r="B120" s="1">
        <v>42468</v>
      </c>
      <c r="C120">
        <v>10209</v>
      </c>
      <c r="D120" s="2">
        <v>27546</v>
      </c>
      <c r="E120" s="2">
        <v>27546</v>
      </c>
      <c r="F120">
        <v>0</v>
      </c>
      <c r="G120" t="s">
        <v>25</v>
      </c>
      <c r="H120" t="s">
        <v>233</v>
      </c>
      <c r="I120" t="s">
        <v>234</v>
      </c>
      <c r="J120">
        <v>0</v>
      </c>
      <c r="K120">
        <v>2</v>
      </c>
      <c r="L120">
        <v>6</v>
      </c>
      <c r="M120">
        <v>316</v>
      </c>
      <c r="N120">
        <v>711</v>
      </c>
      <c r="O120">
        <v>2104</v>
      </c>
      <c r="P120" t="str">
        <f t="shared" si="1"/>
        <v>Weekday</v>
      </c>
    </row>
    <row r="121" spans="1:16" x14ac:dyDescent="0.3">
      <c r="A121">
        <v>2347167796</v>
      </c>
      <c r="B121" s="1">
        <v>42469</v>
      </c>
      <c r="C121">
        <v>16081</v>
      </c>
      <c r="D121" t="s">
        <v>235</v>
      </c>
      <c r="E121" t="s">
        <v>235</v>
      </c>
      <c r="F121">
        <v>0</v>
      </c>
      <c r="G121" s="2">
        <v>45658</v>
      </c>
      <c r="H121" t="s">
        <v>236</v>
      </c>
      <c r="I121" t="s">
        <v>237</v>
      </c>
      <c r="J121">
        <v>0</v>
      </c>
      <c r="K121">
        <v>16</v>
      </c>
      <c r="L121">
        <v>32</v>
      </c>
      <c r="M121">
        <v>401</v>
      </c>
      <c r="N121">
        <v>970</v>
      </c>
      <c r="O121">
        <v>2488</v>
      </c>
      <c r="P121" t="str">
        <f t="shared" si="1"/>
        <v>Weekend</v>
      </c>
    </row>
    <row r="122" spans="1:16" x14ac:dyDescent="0.3">
      <c r="A122">
        <v>2347167796</v>
      </c>
      <c r="B122" s="1">
        <v>42470</v>
      </c>
      <c r="C122">
        <v>10078</v>
      </c>
      <c r="D122" t="s">
        <v>238</v>
      </c>
      <c r="E122" t="s">
        <v>238</v>
      </c>
      <c r="F122">
        <v>0</v>
      </c>
      <c r="G122" t="s">
        <v>239</v>
      </c>
      <c r="H122" t="s">
        <v>206</v>
      </c>
      <c r="I122" t="s">
        <v>56</v>
      </c>
      <c r="J122">
        <v>0</v>
      </c>
      <c r="K122">
        <v>12</v>
      </c>
      <c r="L122">
        <v>3</v>
      </c>
      <c r="M122">
        <v>303</v>
      </c>
      <c r="N122">
        <v>463</v>
      </c>
      <c r="O122">
        <v>2164</v>
      </c>
      <c r="P122" t="str">
        <f t="shared" si="1"/>
        <v>Weekend</v>
      </c>
    </row>
    <row r="123" spans="1:16" x14ac:dyDescent="0.3">
      <c r="A123">
        <v>2347167796</v>
      </c>
      <c r="B123" s="1">
        <v>42471</v>
      </c>
      <c r="C123">
        <v>10001</v>
      </c>
      <c r="D123" t="s">
        <v>240</v>
      </c>
      <c r="E123" t="s">
        <v>240</v>
      </c>
      <c r="F123">
        <v>0</v>
      </c>
      <c r="G123" t="s">
        <v>241</v>
      </c>
      <c r="H123" t="s">
        <v>89</v>
      </c>
      <c r="I123" t="s">
        <v>242</v>
      </c>
      <c r="J123">
        <v>0</v>
      </c>
      <c r="K123">
        <v>5</v>
      </c>
      <c r="L123">
        <v>52</v>
      </c>
      <c r="M123">
        <v>196</v>
      </c>
      <c r="N123">
        <v>788</v>
      </c>
      <c r="O123">
        <v>2009</v>
      </c>
      <c r="P123" t="str">
        <f t="shared" si="1"/>
        <v>Weekday</v>
      </c>
    </row>
    <row r="124" spans="1:16" hidden="1" x14ac:dyDescent="0.3">
      <c r="A124">
        <v>2347167796</v>
      </c>
      <c r="B124" s="1">
        <v>42472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425</v>
      </c>
      <c r="O124">
        <v>399</v>
      </c>
      <c r="P124" t="str">
        <f t="shared" si="1"/>
        <v>Weekday</v>
      </c>
    </row>
    <row r="125" spans="1:16" x14ac:dyDescent="0.3">
      <c r="A125">
        <v>2873212765</v>
      </c>
      <c r="B125" s="1">
        <v>42461</v>
      </c>
      <c r="C125">
        <v>890</v>
      </c>
      <c r="D125" t="s">
        <v>243</v>
      </c>
      <c r="E125" t="s">
        <v>243</v>
      </c>
      <c r="F125">
        <v>0</v>
      </c>
      <c r="G125">
        <v>0</v>
      </c>
      <c r="H125">
        <v>0</v>
      </c>
      <c r="I125" t="s">
        <v>243</v>
      </c>
      <c r="J125">
        <v>0</v>
      </c>
      <c r="K125">
        <v>0</v>
      </c>
      <c r="L125">
        <v>0</v>
      </c>
      <c r="M125">
        <v>41</v>
      </c>
      <c r="N125">
        <v>1399</v>
      </c>
      <c r="O125">
        <v>1335</v>
      </c>
      <c r="P125" t="str">
        <f t="shared" si="1"/>
        <v>Weekday</v>
      </c>
    </row>
    <row r="126" spans="1:16" x14ac:dyDescent="0.3">
      <c r="A126">
        <v>2873212765</v>
      </c>
      <c r="B126" s="1">
        <v>42462</v>
      </c>
      <c r="C126">
        <v>2214</v>
      </c>
      <c r="D126" t="s">
        <v>244</v>
      </c>
      <c r="E126" t="s">
        <v>244</v>
      </c>
      <c r="F126">
        <v>0</v>
      </c>
      <c r="G126">
        <v>0</v>
      </c>
      <c r="H126">
        <v>0</v>
      </c>
      <c r="I126" t="s">
        <v>244</v>
      </c>
      <c r="J126">
        <v>0</v>
      </c>
      <c r="K126">
        <v>0</v>
      </c>
      <c r="L126">
        <v>0</v>
      </c>
      <c r="M126">
        <v>197</v>
      </c>
      <c r="N126">
        <v>1243</v>
      </c>
      <c r="O126">
        <v>1559</v>
      </c>
      <c r="P126" t="str">
        <f t="shared" si="1"/>
        <v>Weekend</v>
      </c>
    </row>
    <row r="127" spans="1:16" x14ac:dyDescent="0.3">
      <c r="A127">
        <v>2873212765</v>
      </c>
      <c r="B127" s="1">
        <v>42463</v>
      </c>
      <c r="C127">
        <v>7640</v>
      </c>
      <c r="D127" t="s">
        <v>245</v>
      </c>
      <c r="E127" t="s">
        <v>245</v>
      </c>
      <c r="F127">
        <v>0</v>
      </c>
      <c r="G127" t="s">
        <v>246</v>
      </c>
      <c r="H127" t="s">
        <v>247</v>
      </c>
      <c r="I127" t="s">
        <v>248</v>
      </c>
      <c r="J127">
        <v>0</v>
      </c>
      <c r="K127">
        <v>3</v>
      </c>
      <c r="L127">
        <v>15</v>
      </c>
      <c r="M127">
        <v>315</v>
      </c>
      <c r="N127">
        <v>1107</v>
      </c>
      <c r="O127">
        <v>1845</v>
      </c>
      <c r="P127" t="str">
        <f t="shared" si="1"/>
        <v>Weekend</v>
      </c>
    </row>
    <row r="128" spans="1:16" x14ac:dyDescent="0.3">
      <c r="A128">
        <v>2873212765</v>
      </c>
      <c r="B128" s="1">
        <v>42464</v>
      </c>
      <c r="C128">
        <v>9713</v>
      </c>
      <c r="D128" t="s">
        <v>249</v>
      </c>
      <c r="E128" t="s">
        <v>249</v>
      </c>
      <c r="F128">
        <v>0</v>
      </c>
      <c r="G128" t="s">
        <v>123</v>
      </c>
      <c r="H128" t="s">
        <v>166</v>
      </c>
      <c r="I128" t="s">
        <v>250</v>
      </c>
      <c r="J128">
        <v>0</v>
      </c>
      <c r="K128">
        <v>6</v>
      </c>
      <c r="L128">
        <v>24</v>
      </c>
      <c r="M128">
        <v>355</v>
      </c>
      <c r="N128">
        <v>1055</v>
      </c>
      <c r="O128">
        <v>2046</v>
      </c>
      <c r="P128" t="str">
        <f t="shared" si="1"/>
        <v>Weekday</v>
      </c>
    </row>
    <row r="129" spans="1:16" x14ac:dyDescent="0.3">
      <c r="A129">
        <v>2873212765</v>
      </c>
      <c r="B129" s="1">
        <v>42465</v>
      </c>
      <c r="C129">
        <v>8432</v>
      </c>
      <c r="D129" t="s">
        <v>251</v>
      </c>
      <c r="E129" t="s">
        <v>251</v>
      </c>
      <c r="F129">
        <v>0</v>
      </c>
      <c r="G129">
        <v>0</v>
      </c>
      <c r="H129">
        <v>0</v>
      </c>
      <c r="I129" t="s">
        <v>252</v>
      </c>
      <c r="J129" t="s">
        <v>84</v>
      </c>
      <c r="K129">
        <v>0</v>
      </c>
      <c r="L129">
        <v>0</v>
      </c>
      <c r="M129">
        <v>374</v>
      </c>
      <c r="N129">
        <v>1066</v>
      </c>
      <c r="O129">
        <v>1953</v>
      </c>
      <c r="P129" t="str">
        <f t="shared" si="1"/>
        <v>Weekday</v>
      </c>
    </row>
    <row r="130" spans="1:16" x14ac:dyDescent="0.3">
      <c r="A130">
        <v>2873212765</v>
      </c>
      <c r="B130" s="1">
        <v>42466</v>
      </c>
      <c r="C130">
        <v>7350</v>
      </c>
      <c r="D130" t="s">
        <v>232</v>
      </c>
      <c r="E130" t="s">
        <v>232</v>
      </c>
      <c r="F130">
        <v>0</v>
      </c>
      <c r="G130">
        <v>0</v>
      </c>
      <c r="H130">
        <v>0</v>
      </c>
      <c r="I130" t="s">
        <v>232</v>
      </c>
      <c r="J130">
        <v>0</v>
      </c>
      <c r="K130">
        <v>0</v>
      </c>
      <c r="L130">
        <v>0</v>
      </c>
      <c r="M130">
        <v>382</v>
      </c>
      <c r="N130">
        <v>1058</v>
      </c>
      <c r="O130">
        <v>1910</v>
      </c>
      <c r="P130" t="str">
        <f t="shared" si="1"/>
        <v>Weekday</v>
      </c>
    </row>
    <row r="131" spans="1:16" x14ac:dyDescent="0.3">
      <c r="A131">
        <v>2873212765</v>
      </c>
      <c r="B131" s="1">
        <v>42467</v>
      </c>
      <c r="C131">
        <v>9353</v>
      </c>
      <c r="D131" t="s">
        <v>253</v>
      </c>
      <c r="E131" t="s">
        <v>253</v>
      </c>
      <c r="F131">
        <v>0</v>
      </c>
      <c r="G131" t="s">
        <v>141</v>
      </c>
      <c r="H131" t="s">
        <v>254</v>
      </c>
      <c r="I131" t="s">
        <v>255</v>
      </c>
      <c r="J131">
        <v>0</v>
      </c>
      <c r="K131">
        <v>5</v>
      </c>
      <c r="L131">
        <v>17</v>
      </c>
      <c r="M131">
        <v>363</v>
      </c>
      <c r="N131">
        <v>1055</v>
      </c>
      <c r="O131">
        <v>2035</v>
      </c>
      <c r="P131" t="str">
        <f t="shared" ref="P131:P194" si="2">IF(OR(WEEKDAY(B131,2)=6, WEEKDAY(B131,2)=7),"Weekend","Weekday")</f>
        <v>Weekday</v>
      </c>
    </row>
    <row r="132" spans="1:16" x14ac:dyDescent="0.3">
      <c r="A132">
        <v>2873212765</v>
      </c>
      <c r="B132" s="1">
        <v>42468</v>
      </c>
      <c r="C132">
        <v>7157</v>
      </c>
      <c r="D132" t="s">
        <v>256</v>
      </c>
      <c r="E132" t="s">
        <v>256</v>
      </c>
      <c r="F132">
        <v>0</v>
      </c>
      <c r="G132">
        <v>0</v>
      </c>
      <c r="H132">
        <v>0</v>
      </c>
      <c r="I132" t="s">
        <v>256</v>
      </c>
      <c r="J132">
        <v>0</v>
      </c>
      <c r="K132">
        <v>0</v>
      </c>
      <c r="L132">
        <v>0</v>
      </c>
      <c r="M132">
        <v>380</v>
      </c>
      <c r="N132">
        <v>1060</v>
      </c>
      <c r="O132">
        <v>1944</v>
      </c>
      <c r="P132" t="str">
        <f t="shared" si="2"/>
        <v>Weekday</v>
      </c>
    </row>
    <row r="133" spans="1:16" x14ac:dyDescent="0.3">
      <c r="A133">
        <v>2873212765</v>
      </c>
      <c r="B133" s="1">
        <v>42469</v>
      </c>
      <c r="C133">
        <v>14103</v>
      </c>
      <c r="D133" t="s">
        <v>257</v>
      </c>
      <c r="E133" t="s">
        <v>257</v>
      </c>
      <c r="F133">
        <v>0</v>
      </c>
      <c r="G133" t="s">
        <v>258</v>
      </c>
      <c r="H133" t="s">
        <v>259</v>
      </c>
      <c r="I133" t="s">
        <v>260</v>
      </c>
      <c r="J133" t="s">
        <v>84</v>
      </c>
      <c r="K133">
        <v>46</v>
      </c>
      <c r="L133">
        <v>8</v>
      </c>
      <c r="M133">
        <v>288</v>
      </c>
      <c r="N133">
        <v>1098</v>
      </c>
      <c r="O133">
        <v>2257</v>
      </c>
      <c r="P133" t="str">
        <f t="shared" si="2"/>
        <v>Weekend</v>
      </c>
    </row>
    <row r="134" spans="1:16" x14ac:dyDescent="0.3">
      <c r="A134">
        <v>2873212765</v>
      </c>
      <c r="B134" s="1">
        <v>42470</v>
      </c>
      <c r="C134">
        <v>5290</v>
      </c>
      <c r="D134" t="s">
        <v>142</v>
      </c>
      <c r="E134" t="s">
        <v>142</v>
      </c>
      <c r="F134">
        <v>0</v>
      </c>
      <c r="G134" t="s">
        <v>261</v>
      </c>
      <c r="H134" t="s">
        <v>123</v>
      </c>
      <c r="I134" t="s">
        <v>262</v>
      </c>
      <c r="J134">
        <v>0</v>
      </c>
      <c r="K134">
        <v>1</v>
      </c>
      <c r="L134">
        <v>8</v>
      </c>
      <c r="M134">
        <v>251</v>
      </c>
      <c r="N134">
        <v>1180</v>
      </c>
      <c r="O134">
        <v>1724</v>
      </c>
      <c r="P134" t="str">
        <f t="shared" si="2"/>
        <v>Weekend</v>
      </c>
    </row>
    <row r="135" spans="1:16" x14ac:dyDescent="0.3">
      <c r="A135">
        <v>2873212765</v>
      </c>
      <c r="B135" s="1">
        <v>42471</v>
      </c>
      <c r="C135">
        <v>7497</v>
      </c>
      <c r="D135" t="s">
        <v>42</v>
      </c>
      <c r="E135" t="s">
        <v>42</v>
      </c>
      <c r="F135">
        <v>0</v>
      </c>
      <c r="G135">
        <v>0</v>
      </c>
      <c r="H135">
        <v>0</v>
      </c>
      <c r="I135" t="s">
        <v>42</v>
      </c>
      <c r="J135">
        <v>0</v>
      </c>
      <c r="K135">
        <v>0</v>
      </c>
      <c r="L135">
        <v>0</v>
      </c>
      <c r="M135">
        <v>357</v>
      </c>
      <c r="N135">
        <v>882</v>
      </c>
      <c r="O135">
        <v>1741</v>
      </c>
      <c r="P135" t="str">
        <f t="shared" si="2"/>
        <v>Weekday</v>
      </c>
    </row>
    <row r="136" spans="1:16" hidden="1" x14ac:dyDescent="0.3">
      <c r="A136">
        <v>2873212765</v>
      </c>
      <c r="B136" s="1">
        <v>42472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1440</v>
      </c>
      <c r="O136">
        <v>0</v>
      </c>
      <c r="P136" t="str">
        <f t="shared" si="2"/>
        <v>Weekday</v>
      </c>
    </row>
    <row r="137" spans="1:16" hidden="1" x14ac:dyDescent="0.3">
      <c r="A137">
        <v>2891001357</v>
      </c>
      <c r="B137" s="1">
        <v>42458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1440</v>
      </c>
      <c r="O137">
        <v>1920</v>
      </c>
      <c r="P137" t="str">
        <f t="shared" si="2"/>
        <v>Weekday</v>
      </c>
    </row>
    <row r="138" spans="1:16" hidden="1" x14ac:dyDescent="0.3">
      <c r="A138">
        <v>2891001357</v>
      </c>
      <c r="B138" s="1">
        <v>42459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1440</v>
      </c>
      <c r="O138">
        <v>1920</v>
      </c>
      <c r="P138" t="str">
        <f t="shared" si="2"/>
        <v>Weekday</v>
      </c>
    </row>
    <row r="139" spans="1:16" hidden="1" x14ac:dyDescent="0.3">
      <c r="A139">
        <v>2891001357</v>
      </c>
      <c r="B139" s="1">
        <v>42460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1440</v>
      </c>
      <c r="O139">
        <v>1920</v>
      </c>
      <c r="P139" t="str">
        <f t="shared" si="2"/>
        <v>Weekday</v>
      </c>
    </row>
    <row r="140" spans="1:16" hidden="1" x14ac:dyDescent="0.3">
      <c r="A140">
        <v>2891001357</v>
      </c>
      <c r="B140" s="1">
        <v>42461</v>
      </c>
      <c r="C140">
        <v>0</v>
      </c>
      <c r="D140">
        <v>0</v>
      </c>
      <c r="E140">
        <v>0</v>
      </c>
      <c r="F140" t="s">
        <v>263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660</v>
      </c>
      <c r="M140">
        <v>0</v>
      </c>
      <c r="N140">
        <v>780</v>
      </c>
      <c r="O140">
        <v>4562</v>
      </c>
      <c r="P140" t="str">
        <f t="shared" si="2"/>
        <v>Weekday</v>
      </c>
    </row>
    <row r="141" spans="1:16" x14ac:dyDescent="0.3">
      <c r="A141">
        <v>2891001357</v>
      </c>
      <c r="B141" s="1">
        <v>42462</v>
      </c>
      <c r="C141">
        <v>4126</v>
      </c>
      <c r="D141" t="s">
        <v>264</v>
      </c>
      <c r="E141">
        <v>0</v>
      </c>
      <c r="F141" t="s">
        <v>265</v>
      </c>
      <c r="G141">
        <v>0</v>
      </c>
      <c r="H141">
        <v>0</v>
      </c>
      <c r="I141" t="s">
        <v>264</v>
      </c>
      <c r="J141">
        <v>0</v>
      </c>
      <c r="K141">
        <v>0</v>
      </c>
      <c r="L141">
        <v>0</v>
      </c>
      <c r="M141">
        <v>720</v>
      </c>
      <c r="N141">
        <v>720</v>
      </c>
      <c r="O141">
        <v>2881</v>
      </c>
      <c r="P141" t="str">
        <f t="shared" si="2"/>
        <v>Weekend</v>
      </c>
    </row>
    <row r="142" spans="1:16" hidden="1" x14ac:dyDescent="0.3">
      <c r="A142">
        <v>2891001357</v>
      </c>
      <c r="B142" s="1">
        <v>42463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1440</v>
      </c>
      <c r="O142">
        <v>1920</v>
      </c>
      <c r="P142" t="str">
        <f t="shared" si="2"/>
        <v>Weekend</v>
      </c>
    </row>
    <row r="143" spans="1:16" hidden="1" x14ac:dyDescent="0.3">
      <c r="A143">
        <v>2891001357</v>
      </c>
      <c r="B143" s="1">
        <v>42464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1440</v>
      </c>
      <c r="O143">
        <v>1920</v>
      </c>
      <c r="P143" t="str">
        <f t="shared" si="2"/>
        <v>Weekday</v>
      </c>
    </row>
    <row r="144" spans="1:16" x14ac:dyDescent="0.3">
      <c r="A144">
        <v>2891001357</v>
      </c>
      <c r="B144" s="1">
        <v>42465</v>
      </c>
      <c r="C144">
        <v>2063</v>
      </c>
      <c r="D144" t="s">
        <v>266</v>
      </c>
      <c r="E144">
        <v>0</v>
      </c>
      <c r="F144" t="s">
        <v>267</v>
      </c>
      <c r="G144">
        <v>0</v>
      </c>
      <c r="H144">
        <v>0</v>
      </c>
      <c r="I144" t="s">
        <v>266</v>
      </c>
      <c r="J144">
        <v>0</v>
      </c>
      <c r="K144">
        <v>0</v>
      </c>
      <c r="L144">
        <v>0</v>
      </c>
      <c r="M144">
        <v>630</v>
      </c>
      <c r="N144">
        <v>99</v>
      </c>
      <c r="O144">
        <v>1144</v>
      </c>
      <c r="P144" t="str">
        <f t="shared" si="2"/>
        <v>Weekday</v>
      </c>
    </row>
    <row r="145" spans="1:16" x14ac:dyDescent="0.3">
      <c r="A145">
        <v>3372868164</v>
      </c>
      <c r="B145" s="1">
        <v>42461</v>
      </c>
      <c r="C145">
        <v>5785</v>
      </c>
      <c r="D145" t="s">
        <v>268</v>
      </c>
      <c r="E145" t="s">
        <v>268</v>
      </c>
      <c r="F145">
        <v>0</v>
      </c>
      <c r="G145">
        <v>0</v>
      </c>
      <c r="H145">
        <v>0</v>
      </c>
      <c r="I145" t="s">
        <v>22</v>
      </c>
      <c r="J145" t="s">
        <v>261</v>
      </c>
      <c r="K145">
        <v>0</v>
      </c>
      <c r="L145">
        <v>0</v>
      </c>
      <c r="M145">
        <v>311</v>
      </c>
      <c r="N145">
        <v>1129</v>
      </c>
      <c r="O145">
        <v>1852</v>
      </c>
      <c r="P145" t="str">
        <f t="shared" si="2"/>
        <v>Weekday</v>
      </c>
    </row>
    <row r="146" spans="1:16" x14ac:dyDescent="0.3">
      <c r="A146">
        <v>3372868164</v>
      </c>
      <c r="B146" s="1">
        <v>42462</v>
      </c>
      <c r="C146">
        <v>7625</v>
      </c>
      <c r="D146" t="s">
        <v>269</v>
      </c>
      <c r="E146" t="s">
        <v>269</v>
      </c>
      <c r="F146">
        <v>0</v>
      </c>
      <c r="G146" t="s">
        <v>270</v>
      </c>
      <c r="H146" t="s">
        <v>261</v>
      </c>
      <c r="I146" s="3">
        <v>46145</v>
      </c>
      <c r="J146" t="s">
        <v>84</v>
      </c>
      <c r="K146">
        <v>24</v>
      </c>
      <c r="L146">
        <v>1</v>
      </c>
      <c r="M146">
        <v>341</v>
      </c>
      <c r="N146">
        <v>1074</v>
      </c>
      <c r="O146">
        <v>2069</v>
      </c>
      <c r="P146" t="str">
        <f t="shared" si="2"/>
        <v>Weekend</v>
      </c>
    </row>
    <row r="147" spans="1:16" x14ac:dyDescent="0.3">
      <c r="A147">
        <v>3372868164</v>
      </c>
      <c r="B147" s="1">
        <v>42463</v>
      </c>
      <c r="C147">
        <v>4706</v>
      </c>
      <c r="D147" t="s">
        <v>271</v>
      </c>
      <c r="E147" t="s">
        <v>271</v>
      </c>
      <c r="F147">
        <v>0</v>
      </c>
      <c r="G147">
        <v>0</v>
      </c>
      <c r="H147">
        <v>0</v>
      </c>
      <c r="I147" t="s">
        <v>271</v>
      </c>
      <c r="J147">
        <v>0</v>
      </c>
      <c r="K147">
        <v>0</v>
      </c>
      <c r="L147">
        <v>0</v>
      </c>
      <c r="M147">
        <v>299</v>
      </c>
      <c r="N147">
        <v>1141</v>
      </c>
      <c r="O147">
        <v>1816</v>
      </c>
      <c r="P147" t="str">
        <f t="shared" si="2"/>
        <v>Weekend</v>
      </c>
    </row>
    <row r="148" spans="1:16" x14ac:dyDescent="0.3">
      <c r="A148">
        <v>3372868164</v>
      </c>
      <c r="B148" s="1">
        <v>42464</v>
      </c>
      <c r="C148">
        <v>5861</v>
      </c>
      <c r="D148" t="s">
        <v>272</v>
      </c>
      <c r="E148" t="s">
        <v>272</v>
      </c>
      <c r="F148">
        <v>0</v>
      </c>
      <c r="G148" t="s">
        <v>273</v>
      </c>
      <c r="H148" t="s">
        <v>190</v>
      </c>
      <c r="I148" t="s">
        <v>274</v>
      </c>
      <c r="J148" t="s">
        <v>84</v>
      </c>
      <c r="K148">
        <v>20</v>
      </c>
      <c r="L148">
        <v>7</v>
      </c>
      <c r="M148">
        <v>233</v>
      </c>
      <c r="N148">
        <v>1180</v>
      </c>
      <c r="O148">
        <v>1878</v>
      </c>
      <c r="P148" t="str">
        <f t="shared" si="2"/>
        <v>Weekday</v>
      </c>
    </row>
    <row r="149" spans="1:16" x14ac:dyDescent="0.3">
      <c r="A149">
        <v>3372868164</v>
      </c>
      <c r="B149" s="1">
        <v>42465</v>
      </c>
      <c r="C149">
        <v>4460</v>
      </c>
      <c r="D149" t="s">
        <v>275</v>
      </c>
      <c r="E149" t="s">
        <v>275</v>
      </c>
      <c r="F149">
        <v>0</v>
      </c>
      <c r="G149">
        <v>0</v>
      </c>
      <c r="H149">
        <v>0</v>
      </c>
      <c r="I149" t="s">
        <v>258</v>
      </c>
      <c r="J149" t="s">
        <v>102</v>
      </c>
      <c r="K149">
        <v>0</v>
      </c>
      <c r="L149">
        <v>0</v>
      </c>
      <c r="M149">
        <v>248</v>
      </c>
      <c r="N149">
        <v>1192</v>
      </c>
      <c r="O149">
        <v>1787</v>
      </c>
      <c r="P149" t="str">
        <f t="shared" si="2"/>
        <v>Weekday</v>
      </c>
    </row>
    <row r="150" spans="1:16" x14ac:dyDescent="0.3">
      <c r="A150">
        <v>3372868164</v>
      </c>
      <c r="B150" s="1">
        <v>42466</v>
      </c>
      <c r="C150">
        <v>6406</v>
      </c>
      <c r="D150" t="s">
        <v>276</v>
      </c>
      <c r="E150" t="s">
        <v>276</v>
      </c>
      <c r="F150">
        <v>0</v>
      </c>
      <c r="G150" t="s">
        <v>109</v>
      </c>
      <c r="H150" t="s">
        <v>277</v>
      </c>
      <c r="I150" t="s">
        <v>278</v>
      </c>
      <c r="J150" t="s">
        <v>84</v>
      </c>
      <c r="K150">
        <v>17</v>
      </c>
      <c r="L150">
        <v>4</v>
      </c>
      <c r="M150">
        <v>325</v>
      </c>
      <c r="N150">
        <v>1094</v>
      </c>
      <c r="O150">
        <v>2010</v>
      </c>
      <c r="P150" t="str">
        <f t="shared" si="2"/>
        <v>Weekday</v>
      </c>
    </row>
    <row r="151" spans="1:16" x14ac:dyDescent="0.3">
      <c r="A151">
        <v>3372868164</v>
      </c>
      <c r="B151" s="1">
        <v>42467</v>
      </c>
      <c r="C151">
        <v>7392</v>
      </c>
      <c r="D151" t="s">
        <v>279</v>
      </c>
      <c r="E151" t="s">
        <v>279</v>
      </c>
      <c r="F151">
        <v>0</v>
      </c>
      <c r="G151" t="s">
        <v>96</v>
      </c>
      <c r="H151" t="s">
        <v>25</v>
      </c>
      <c r="I151" t="s">
        <v>280</v>
      </c>
      <c r="J151" t="s">
        <v>159</v>
      </c>
      <c r="K151">
        <v>14</v>
      </c>
      <c r="L151">
        <v>9</v>
      </c>
      <c r="M151">
        <v>332</v>
      </c>
      <c r="N151">
        <v>1085</v>
      </c>
      <c r="O151">
        <v>2038</v>
      </c>
      <c r="P151" t="str">
        <f t="shared" si="2"/>
        <v>Weekday</v>
      </c>
    </row>
    <row r="152" spans="1:16" x14ac:dyDescent="0.3">
      <c r="A152">
        <v>3372868164</v>
      </c>
      <c r="B152" s="1">
        <v>42468</v>
      </c>
      <c r="C152">
        <v>5551</v>
      </c>
      <c r="D152" t="s">
        <v>117</v>
      </c>
      <c r="E152" t="s">
        <v>117</v>
      </c>
      <c r="F152">
        <v>0</v>
      </c>
      <c r="G152">
        <v>0</v>
      </c>
      <c r="H152">
        <v>0</v>
      </c>
      <c r="I152" t="s">
        <v>281</v>
      </c>
      <c r="J152" t="s">
        <v>84</v>
      </c>
      <c r="K152">
        <v>0</v>
      </c>
      <c r="L152">
        <v>0</v>
      </c>
      <c r="M152">
        <v>282</v>
      </c>
      <c r="N152">
        <v>1158</v>
      </c>
      <c r="O152">
        <v>1815</v>
      </c>
      <c r="P152" t="str">
        <f t="shared" si="2"/>
        <v>Weekday</v>
      </c>
    </row>
    <row r="153" spans="1:16" x14ac:dyDescent="0.3">
      <c r="A153">
        <v>3372868164</v>
      </c>
      <c r="B153" s="1">
        <v>42469</v>
      </c>
      <c r="C153">
        <v>8827</v>
      </c>
      <c r="D153" s="2">
        <v>45809</v>
      </c>
      <c r="E153" s="2">
        <v>45809</v>
      </c>
      <c r="F153">
        <v>0</v>
      </c>
      <c r="G153" t="s">
        <v>212</v>
      </c>
      <c r="H153" t="s">
        <v>63</v>
      </c>
      <c r="I153">
        <v>4</v>
      </c>
      <c r="J153" t="s">
        <v>84</v>
      </c>
      <c r="K153">
        <v>21</v>
      </c>
      <c r="L153">
        <v>10</v>
      </c>
      <c r="M153">
        <v>346</v>
      </c>
      <c r="N153">
        <v>1063</v>
      </c>
      <c r="O153">
        <v>2062</v>
      </c>
      <c r="P153" t="str">
        <f t="shared" si="2"/>
        <v>Weekend</v>
      </c>
    </row>
    <row r="154" spans="1:16" x14ac:dyDescent="0.3">
      <c r="A154">
        <v>3372868164</v>
      </c>
      <c r="B154" s="1">
        <v>42470</v>
      </c>
      <c r="C154">
        <v>4662</v>
      </c>
      <c r="D154" t="s">
        <v>282</v>
      </c>
      <c r="E154" t="s">
        <v>282</v>
      </c>
      <c r="F154">
        <v>0</v>
      </c>
      <c r="G154" t="s">
        <v>283</v>
      </c>
      <c r="H154" t="s">
        <v>284</v>
      </c>
      <c r="I154" t="s">
        <v>285</v>
      </c>
      <c r="J154">
        <v>0</v>
      </c>
      <c r="K154">
        <v>22</v>
      </c>
      <c r="L154">
        <v>4</v>
      </c>
      <c r="M154">
        <v>152</v>
      </c>
      <c r="N154">
        <v>735</v>
      </c>
      <c r="O154">
        <v>1276</v>
      </c>
      <c r="P154" t="str">
        <f t="shared" si="2"/>
        <v>Weekend</v>
      </c>
    </row>
    <row r="155" spans="1:16" x14ac:dyDescent="0.3">
      <c r="A155">
        <v>3977333714</v>
      </c>
      <c r="B155" s="1">
        <v>42461</v>
      </c>
      <c r="C155">
        <v>4499</v>
      </c>
      <c r="D155" t="s">
        <v>286</v>
      </c>
      <c r="E155" t="s">
        <v>286</v>
      </c>
      <c r="F155">
        <v>0</v>
      </c>
      <c r="G155">
        <v>0</v>
      </c>
      <c r="H155">
        <v>0</v>
      </c>
      <c r="I155" t="s">
        <v>286</v>
      </c>
      <c r="J155">
        <v>0</v>
      </c>
      <c r="K155">
        <v>0</v>
      </c>
      <c r="L155">
        <v>0</v>
      </c>
      <c r="M155">
        <v>168</v>
      </c>
      <c r="N155">
        <v>842</v>
      </c>
      <c r="O155">
        <v>1288</v>
      </c>
      <c r="P155" t="str">
        <f t="shared" si="2"/>
        <v>Weekday</v>
      </c>
    </row>
    <row r="156" spans="1:16" x14ac:dyDescent="0.3">
      <c r="A156">
        <v>3977333714</v>
      </c>
      <c r="B156" s="1">
        <v>42462</v>
      </c>
      <c r="C156">
        <v>7618</v>
      </c>
      <c r="D156" t="s">
        <v>279</v>
      </c>
      <c r="E156" t="s">
        <v>279</v>
      </c>
      <c r="F156">
        <v>0</v>
      </c>
      <c r="G156">
        <v>0</v>
      </c>
      <c r="H156" t="s">
        <v>287</v>
      </c>
      <c r="I156" t="s">
        <v>288</v>
      </c>
      <c r="J156">
        <v>0</v>
      </c>
      <c r="K156">
        <v>0</v>
      </c>
      <c r="L156">
        <v>6</v>
      </c>
      <c r="M156">
        <v>302</v>
      </c>
      <c r="N156">
        <v>842</v>
      </c>
      <c r="O156">
        <v>1490</v>
      </c>
      <c r="P156" t="str">
        <f t="shared" si="2"/>
        <v>Weekend</v>
      </c>
    </row>
    <row r="157" spans="1:16" x14ac:dyDescent="0.3">
      <c r="A157">
        <v>3977333714</v>
      </c>
      <c r="B157" s="1">
        <v>42463</v>
      </c>
      <c r="C157">
        <v>11508</v>
      </c>
      <c r="D157" t="s">
        <v>289</v>
      </c>
      <c r="E157" t="s">
        <v>289</v>
      </c>
      <c r="F157">
        <v>0</v>
      </c>
      <c r="G157" t="s">
        <v>290</v>
      </c>
      <c r="H157" t="s">
        <v>158</v>
      </c>
      <c r="I157" t="s">
        <v>169</v>
      </c>
      <c r="J157">
        <v>0</v>
      </c>
      <c r="K157">
        <v>29</v>
      </c>
      <c r="L157">
        <v>22</v>
      </c>
      <c r="M157">
        <v>282</v>
      </c>
      <c r="N157">
        <v>748</v>
      </c>
      <c r="O157">
        <v>1630</v>
      </c>
      <c r="P157" t="str">
        <f t="shared" si="2"/>
        <v>Weekend</v>
      </c>
    </row>
    <row r="158" spans="1:16" x14ac:dyDescent="0.3">
      <c r="A158">
        <v>3977333714</v>
      </c>
      <c r="B158" s="1">
        <v>42464</v>
      </c>
      <c r="C158">
        <v>11943</v>
      </c>
      <c r="D158" t="s">
        <v>291</v>
      </c>
      <c r="E158" t="s">
        <v>291</v>
      </c>
      <c r="F158">
        <v>0</v>
      </c>
      <c r="G158" t="s">
        <v>292</v>
      </c>
      <c r="H158" t="s">
        <v>293</v>
      </c>
      <c r="I158" t="s">
        <v>30</v>
      </c>
      <c r="J158">
        <v>0</v>
      </c>
      <c r="K158">
        <v>16</v>
      </c>
      <c r="L158">
        <v>43</v>
      </c>
      <c r="M158">
        <v>297</v>
      </c>
      <c r="N158">
        <v>710</v>
      </c>
      <c r="O158">
        <v>1648</v>
      </c>
      <c r="P158" t="str">
        <f t="shared" si="2"/>
        <v>Weekday</v>
      </c>
    </row>
    <row r="159" spans="1:16" x14ac:dyDescent="0.3">
      <c r="A159">
        <v>3977333714</v>
      </c>
      <c r="B159" s="1">
        <v>42465</v>
      </c>
      <c r="C159">
        <v>12303</v>
      </c>
      <c r="D159" t="s">
        <v>294</v>
      </c>
      <c r="E159" t="s">
        <v>294</v>
      </c>
      <c r="F159">
        <v>0</v>
      </c>
      <c r="G159" t="s">
        <v>295</v>
      </c>
      <c r="H159" t="s">
        <v>296</v>
      </c>
      <c r="I159" t="s">
        <v>297</v>
      </c>
      <c r="J159">
        <v>0</v>
      </c>
      <c r="K159">
        <v>26</v>
      </c>
      <c r="L159">
        <v>32</v>
      </c>
      <c r="M159">
        <v>291</v>
      </c>
      <c r="N159">
        <v>605</v>
      </c>
      <c r="O159">
        <v>1649</v>
      </c>
      <c r="P159" t="str">
        <f t="shared" si="2"/>
        <v>Weekday</v>
      </c>
    </row>
    <row r="160" spans="1:16" x14ac:dyDescent="0.3">
      <c r="A160">
        <v>3977333714</v>
      </c>
      <c r="B160" s="1">
        <v>42466</v>
      </c>
      <c r="C160">
        <v>15425</v>
      </c>
      <c r="D160" t="s">
        <v>298</v>
      </c>
      <c r="E160" t="s">
        <v>298</v>
      </c>
      <c r="F160">
        <v>0</v>
      </c>
      <c r="G160" t="s">
        <v>192</v>
      </c>
      <c r="H160" t="s">
        <v>236</v>
      </c>
      <c r="I160" t="s">
        <v>299</v>
      </c>
      <c r="J160">
        <v>0</v>
      </c>
      <c r="K160">
        <v>24</v>
      </c>
      <c r="L160">
        <v>45</v>
      </c>
      <c r="M160">
        <v>331</v>
      </c>
      <c r="N160">
        <v>614</v>
      </c>
      <c r="O160">
        <v>1783</v>
      </c>
      <c r="P160" t="str">
        <f t="shared" si="2"/>
        <v>Weekday</v>
      </c>
    </row>
    <row r="161" spans="1:16" x14ac:dyDescent="0.3">
      <c r="A161">
        <v>3977333714</v>
      </c>
      <c r="B161" s="1">
        <v>42467</v>
      </c>
      <c r="C161">
        <v>8422</v>
      </c>
      <c r="D161" t="s">
        <v>300</v>
      </c>
      <c r="E161" t="s">
        <v>300</v>
      </c>
      <c r="F161">
        <v>0</v>
      </c>
      <c r="G161">
        <v>0</v>
      </c>
      <c r="H161" t="s">
        <v>301</v>
      </c>
      <c r="I161" t="s">
        <v>62</v>
      </c>
      <c r="J161">
        <v>0</v>
      </c>
      <c r="K161">
        <v>0</v>
      </c>
      <c r="L161">
        <v>81</v>
      </c>
      <c r="M161">
        <v>139</v>
      </c>
      <c r="N161">
        <v>815</v>
      </c>
      <c r="O161">
        <v>1431</v>
      </c>
      <c r="P161" t="str">
        <f t="shared" si="2"/>
        <v>Weekday</v>
      </c>
    </row>
    <row r="162" spans="1:16" x14ac:dyDescent="0.3">
      <c r="A162">
        <v>3977333714</v>
      </c>
      <c r="B162" s="1">
        <v>42468</v>
      </c>
      <c r="C162">
        <v>10226</v>
      </c>
      <c r="D162" t="s">
        <v>302</v>
      </c>
      <c r="E162" t="s">
        <v>302</v>
      </c>
      <c r="F162">
        <v>0</v>
      </c>
      <c r="G162">
        <v>0</v>
      </c>
      <c r="H162" t="s">
        <v>303</v>
      </c>
      <c r="I162" t="s">
        <v>304</v>
      </c>
      <c r="J162">
        <v>0</v>
      </c>
      <c r="K162">
        <v>0</v>
      </c>
      <c r="L162">
        <v>101</v>
      </c>
      <c r="M162">
        <v>174</v>
      </c>
      <c r="N162">
        <v>685</v>
      </c>
      <c r="O162">
        <v>1524</v>
      </c>
      <c r="P162" t="str">
        <f t="shared" si="2"/>
        <v>Weekday</v>
      </c>
    </row>
    <row r="163" spans="1:16" x14ac:dyDescent="0.3">
      <c r="A163">
        <v>3977333714</v>
      </c>
      <c r="B163" s="1">
        <v>42469</v>
      </c>
      <c r="C163">
        <v>14583</v>
      </c>
      <c r="D163" t="s">
        <v>305</v>
      </c>
      <c r="E163" t="s">
        <v>305</v>
      </c>
      <c r="F163">
        <v>0</v>
      </c>
      <c r="G163" t="s">
        <v>76</v>
      </c>
      <c r="H163" t="s">
        <v>306</v>
      </c>
      <c r="I163" t="s">
        <v>307</v>
      </c>
      <c r="J163">
        <v>0</v>
      </c>
      <c r="K163">
        <v>35</v>
      </c>
      <c r="L163">
        <v>36</v>
      </c>
      <c r="M163">
        <v>254</v>
      </c>
      <c r="N163">
        <v>697</v>
      </c>
      <c r="O163">
        <v>1697</v>
      </c>
      <c r="P163" t="str">
        <f t="shared" si="2"/>
        <v>Weekend</v>
      </c>
    </row>
    <row r="164" spans="1:16" x14ac:dyDescent="0.3">
      <c r="A164">
        <v>3977333714</v>
      </c>
      <c r="B164" s="1">
        <v>42470</v>
      </c>
      <c r="C164">
        <v>3573</v>
      </c>
      <c r="D164" t="s">
        <v>308</v>
      </c>
      <c r="E164" t="s">
        <v>308</v>
      </c>
      <c r="F164">
        <v>0</v>
      </c>
      <c r="G164" t="s">
        <v>309</v>
      </c>
      <c r="H164" t="s">
        <v>259</v>
      </c>
      <c r="I164" t="s">
        <v>138</v>
      </c>
      <c r="J164">
        <v>0</v>
      </c>
      <c r="K164">
        <v>15</v>
      </c>
      <c r="L164">
        <v>8</v>
      </c>
      <c r="M164">
        <v>99</v>
      </c>
      <c r="N164">
        <v>866</v>
      </c>
      <c r="O164">
        <v>1232</v>
      </c>
      <c r="P164" t="str">
        <f t="shared" si="2"/>
        <v>Weekend</v>
      </c>
    </row>
    <row r="165" spans="1:16" x14ac:dyDescent="0.3">
      <c r="A165">
        <v>3977333714</v>
      </c>
      <c r="B165" s="1">
        <v>42471</v>
      </c>
      <c r="C165">
        <v>3108</v>
      </c>
      <c r="D165" t="s">
        <v>310</v>
      </c>
      <c r="E165" t="s">
        <v>310</v>
      </c>
      <c r="F165">
        <v>0</v>
      </c>
      <c r="G165" t="s">
        <v>311</v>
      </c>
      <c r="H165" t="s">
        <v>261</v>
      </c>
      <c r="I165" t="s">
        <v>312</v>
      </c>
      <c r="J165">
        <v>0</v>
      </c>
      <c r="K165">
        <v>1</v>
      </c>
      <c r="L165">
        <v>1</v>
      </c>
      <c r="M165">
        <v>129</v>
      </c>
      <c r="N165">
        <v>894</v>
      </c>
      <c r="O165">
        <v>1223</v>
      </c>
      <c r="P165" t="str">
        <f t="shared" si="2"/>
        <v>Weekday</v>
      </c>
    </row>
    <row r="166" spans="1:16" x14ac:dyDescent="0.3">
      <c r="A166">
        <v>3977333714</v>
      </c>
      <c r="B166" s="1">
        <v>42472</v>
      </c>
      <c r="C166">
        <v>759</v>
      </c>
      <c r="D166" t="s">
        <v>78</v>
      </c>
      <c r="E166" t="s">
        <v>78</v>
      </c>
      <c r="F166">
        <v>0</v>
      </c>
      <c r="G166">
        <v>0</v>
      </c>
      <c r="H166">
        <v>0</v>
      </c>
      <c r="I166" t="s">
        <v>78</v>
      </c>
      <c r="J166">
        <v>0</v>
      </c>
      <c r="K166">
        <v>0</v>
      </c>
      <c r="L166">
        <v>0</v>
      </c>
      <c r="M166">
        <v>17</v>
      </c>
      <c r="N166">
        <v>187</v>
      </c>
      <c r="O166">
        <v>182</v>
      </c>
      <c r="P166" t="str">
        <f t="shared" si="2"/>
        <v>Weekday</v>
      </c>
    </row>
    <row r="167" spans="1:16" x14ac:dyDescent="0.3">
      <c r="A167">
        <v>4020332650</v>
      </c>
      <c r="B167" s="1">
        <v>42441</v>
      </c>
      <c r="C167">
        <v>5543</v>
      </c>
      <c r="D167" t="s">
        <v>313</v>
      </c>
      <c r="E167" t="s">
        <v>313</v>
      </c>
      <c r="F167">
        <v>0</v>
      </c>
      <c r="G167">
        <v>0</v>
      </c>
      <c r="H167">
        <v>0</v>
      </c>
      <c r="I167" t="s">
        <v>314</v>
      </c>
      <c r="J167" t="s">
        <v>84</v>
      </c>
      <c r="K167">
        <v>0</v>
      </c>
      <c r="L167">
        <v>0</v>
      </c>
      <c r="M167">
        <v>254</v>
      </c>
      <c r="N167">
        <v>757</v>
      </c>
      <c r="O167">
        <v>2990</v>
      </c>
      <c r="P167" t="str">
        <f t="shared" si="2"/>
        <v>Weekend</v>
      </c>
    </row>
    <row r="168" spans="1:16" x14ac:dyDescent="0.3">
      <c r="A168">
        <v>4020332650</v>
      </c>
      <c r="B168" s="1">
        <v>42442</v>
      </c>
      <c r="C168">
        <v>3226</v>
      </c>
      <c r="D168" t="s">
        <v>315</v>
      </c>
      <c r="E168" t="s">
        <v>315</v>
      </c>
      <c r="F168">
        <v>0</v>
      </c>
      <c r="G168">
        <v>0</v>
      </c>
      <c r="H168">
        <v>0</v>
      </c>
      <c r="I168" t="s">
        <v>316</v>
      </c>
      <c r="J168">
        <v>0</v>
      </c>
      <c r="K168">
        <v>0</v>
      </c>
      <c r="L168">
        <v>0</v>
      </c>
      <c r="M168">
        <v>136</v>
      </c>
      <c r="N168">
        <v>771</v>
      </c>
      <c r="O168">
        <v>2480</v>
      </c>
      <c r="P168" t="str">
        <f t="shared" si="2"/>
        <v>Weekend</v>
      </c>
    </row>
    <row r="169" spans="1:16" x14ac:dyDescent="0.3">
      <c r="A169">
        <v>4020332650</v>
      </c>
      <c r="B169" s="1">
        <v>42443</v>
      </c>
      <c r="C169">
        <v>3023</v>
      </c>
      <c r="D169" t="s">
        <v>290</v>
      </c>
      <c r="E169" t="s">
        <v>290</v>
      </c>
      <c r="F169">
        <v>0</v>
      </c>
      <c r="G169">
        <v>0</v>
      </c>
      <c r="H169">
        <v>0</v>
      </c>
      <c r="I169" t="s">
        <v>310</v>
      </c>
      <c r="J169">
        <v>0</v>
      </c>
      <c r="K169">
        <v>0</v>
      </c>
      <c r="L169">
        <v>0</v>
      </c>
      <c r="M169">
        <v>145</v>
      </c>
      <c r="N169">
        <v>1005</v>
      </c>
      <c r="O169">
        <v>2570</v>
      </c>
      <c r="P169" t="str">
        <f t="shared" si="2"/>
        <v>Weekday</v>
      </c>
    </row>
    <row r="170" spans="1:16" x14ac:dyDescent="0.3">
      <c r="A170">
        <v>4020332650</v>
      </c>
      <c r="B170" s="1">
        <v>42444</v>
      </c>
      <c r="C170">
        <v>5906</v>
      </c>
      <c r="D170" t="s">
        <v>317</v>
      </c>
      <c r="E170" t="s">
        <v>317</v>
      </c>
      <c r="F170">
        <v>0</v>
      </c>
      <c r="G170">
        <v>0</v>
      </c>
      <c r="H170" t="s">
        <v>25</v>
      </c>
      <c r="I170" t="s">
        <v>318</v>
      </c>
      <c r="J170">
        <v>0</v>
      </c>
      <c r="K170">
        <v>0</v>
      </c>
      <c r="L170">
        <v>10</v>
      </c>
      <c r="M170">
        <v>215</v>
      </c>
      <c r="N170">
        <v>874</v>
      </c>
      <c r="O170">
        <v>3016</v>
      </c>
      <c r="P170" t="str">
        <f t="shared" si="2"/>
        <v>Weekday</v>
      </c>
    </row>
    <row r="171" spans="1:16" x14ac:dyDescent="0.3">
      <c r="A171">
        <v>4020332650</v>
      </c>
      <c r="B171" s="1">
        <v>42445</v>
      </c>
      <c r="C171">
        <v>12483</v>
      </c>
      <c r="D171" t="s">
        <v>319</v>
      </c>
      <c r="E171" t="s">
        <v>319</v>
      </c>
      <c r="F171">
        <v>0</v>
      </c>
      <c r="G171" t="s">
        <v>320</v>
      </c>
      <c r="H171" t="s">
        <v>78</v>
      </c>
      <c r="I171" t="s">
        <v>321</v>
      </c>
      <c r="J171">
        <v>0</v>
      </c>
      <c r="K171">
        <v>25</v>
      </c>
      <c r="L171">
        <v>14</v>
      </c>
      <c r="M171">
        <v>309</v>
      </c>
      <c r="N171">
        <v>599</v>
      </c>
      <c r="O171">
        <v>3830</v>
      </c>
      <c r="P171" t="str">
        <f t="shared" si="2"/>
        <v>Weekday</v>
      </c>
    </row>
    <row r="172" spans="1:16" x14ac:dyDescent="0.3">
      <c r="A172">
        <v>4020332650</v>
      </c>
      <c r="B172" s="1">
        <v>42446</v>
      </c>
      <c r="C172">
        <v>8940</v>
      </c>
      <c r="D172" t="s">
        <v>322</v>
      </c>
      <c r="E172" t="s">
        <v>322</v>
      </c>
      <c r="F172">
        <v>0</v>
      </c>
      <c r="G172">
        <v>0</v>
      </c>
      <c r="H172">
        <v>0</v>
      </c>
      <c r="I172" t="s">
        <v>140</v>
      </c>
      <c r="J172" t="s">
        <v>261</v>
      </c>
      <c r="K172">
        <v>0</v>
      </c>
      <c r="L172">
        <v>0</v>
      </c>
      <c r="M172">
        <v>47</v>
      </c>
      <c r="N172">
        <v>986</v>
      </c>
      <c r="O172">
        <v>3706</v>
      </c>
      <c r="P172" t="str">
        <f t="shared" si="2"/>
        <v>Weekday</v>
      </c>
    </row>
    <row r="173" spans="1:16" x14ac:dyDescent="0.3">
      <c r="A173">
        <v>4020332650</v>
      </c>
      <c r="B173" s="1">
        <v>42447</v>
      </c>
      <c r="C173">
        <v>368</v>
      </c>
      <c r="D173" t="s">
        <v>323</v>
      </c>
      <c r="E173" t="s">
        <v>323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1440</v>
      </c>
      <c r="O173">
        <v>2024</v>
      </c>
      <c r="P173" t="str">
        <f t="shared" si="2"/>
        <v>Weekday</v>
      </c>
    </row>
    <row r="174" spans="1:16" x14ac:dyDescent="0.3">
      <c r="A174">
        <v>4020332650</v>
      </c>
      <c r="B174" s="1">
        <v>42448</v>
      </c>
      <c r="C174">
        <v>5702</v>
      </c>
      <c r="D174" t="s">
        <v>324</v>
      </c>
      <c r="E174" t="s">
        <v>324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1440</v>
      </c>
      <c r="O174">
        <v>2980</v>
      </c>
      <c r="P174" t="str">
        <f t="shared" si="2"/>
        <v>Weekend</v>
      </c>
    </row>
    <row r="175" spans="1:16" x14ac:dyDescent="0.3">
      <c r="A175">
        <v>4020332650</v>
      </c>
      <c r="B175" s="1">
        <v>42449</v>
      </c>
      <c r="C175">
        <v>10330</v>
      </c>
      <c r="D175" t="s">
        <v>325</v>
      </c>
      <c r="E175" t="s">
        <v>325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1440</v>
      </c>
      <c r="O175">
        <v>3728</v>
      </c>
      <c r="P175" t="str">
        <f t="shared" si="2"/>
        <v>Weekend</v>
      </c>
    </row>
    <row r="176" spans="1:16" x14ac:dyDescent="0.3">
      <c r="A176">
        <v>4020332650</v>
      </c>
      <c r="B176" s="1">
        <v>42450</v>
      </c>
      <c r="C176">
        <v>8778</v>
      </c>
      <c r="D176" t="s">
        <v>326</v>
      </c>
      <c r="E176" t="s">
        <v>326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1440</v>
      </c>
      <c r="O176">
        <v>3348</v>
      </c>
      <c r="P176" t="str">
        <f t="shared" si="2"/>
        <v>Weekday</v>
      </c>
    </row>
    <row r="177" spans="1:16" x14ac:dyDescent="0.3">
      <c r="A177">
        <v>4020332650</v>
      </c>
      <c r="B177" s="1">
        <v>42451</v>
      </c>
      <c r="C177">
        <v>6662</v>
      </c>
      <c r="D177" t="s">
        <v>327</v>
      </c>
      <c r="E177" t="s">
        <v>327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1440</v>
      </c>
      <c r="O177">
        <v>3162</v>
      </c>
      <c r="P177" t="str">
        <f t="shared" si="2"/>
        <v>Weekday</v>
      </c>
    </row>
    <row r="178" spans="1:16" x14ac:dyDescent="0.3">
      <c r="A178">
        <v>4020332650</v>
      </c>
      <c r="B178" s="1">
        <v>42452</v>
      </c>
      <c r="C178">
        <v>6309</v>
      </c>
      <c r="D178" t="s">
        <v>328</v>
      </c>
      <c r="E178" t="s">
        <v>328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1440</v>
      </c>
      <c r="O178">
        <v>3140</v>
      </c>
      <c r="P178" t="str">
        <f t="shared" si="2"/>
        <v>Weekday</v>
      </c>
    </row>
    <row r="179" spans="1:16" x14ac:dyDescent="0.3">
      <c r="A179">
        <v>4020332650</v>
      </c>
      <c r="B179" s="1">
        <v>42453</v>
      </c>
      <c r="C179">
        <v>1951</v>
      </c>
      <c r="D179" t="s">
        <v>208</v>
      </c>
      <c r="E179" t="s">
        <v>208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1440</v>
      </c>
      <c r="O179">
        <v>1980</v>
      </c>
      <c r="P179" t="str">
        <f t="shared" si="2"/>
        <v>Weekday</v>
      </c>
    </row>
    <row r="180" spans="1:16" x14ac:dyDescent="0.3">
      <c r="A180">
        <v>4020332650</v>
      </c>
      <c r="B180" s="1">
        <v>42454</v>
      </c>
      <c r="C180">
        <v>5563</v>
      </c>
      <c r="D180" t="s">
        <v>329</v>
      </c>
      <c r="E180" t="s">
        <v>329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1440</v>
      </c>
      <c r="O180">
        <v>3681</v>
      </c>
      <c r="P180" t="str">
        <f t="shared" si="2"/>
        <v>Weekday</v>
      </c>
    </row>
    <row r="181" spans="1:16" x14ac:dyDescent="0.3">
      <c r="A181">
        <v>4020332650</v>
      </c>
      <c r="B181" s="1">
        <v>42455</v>
      </c>
      <c r="C181">
        <v>4370</v>
      </c>
      <c r="D181" t="s">
        <v>330</v>
      </c>
      <c r="E181" t="s">
        <v>330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1440</v>
      </c>
      <c r="O181">
        <v>3444</v>
      </c>
      <c r="P181" t="str">
        <f t="shared" si="2"/>
        <v>Weekend</v>
      </c>
    </row>
    <row r="182" spans="1:16" x14ac:dyDescent="0.3">
      <c r="A182">
        <v>4020332650</v>
      </c>
      <c r="B182" s="1">
        <v>42456</v>
      </c>
      <c r="C182">
        <v>7144</v>
      </c>
      <c r="D182" t="s">
        <v>331</v>
      </c>
      <c r="E182" t="s">
        <v>331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1440</v>
      </c>
      <c r="O182">
        <v>3510</v>
      </c>
      <c r="P182" t="str">
        <f t="shared" si="2"/>
        <v>Weekend</v>
      </c>
    </row>
    <row r="183" spans="1:16" x14ac:dyDescent="0.3">
      <c r="A183">
        <v>4020332650</v>
      </c>
      <c r="B183" s="1">
        <v>42457</v>
      </c>
      <c r="C183">
        <v>2106</v>
      </c>
      <c r="D183" t="s">
        <v>332</v>
      </c>
      <c r="E183" t="s">
        <v>332</v>
      </c>
      <c r="F183">
        <v>0</v>
      </c>
      <c r="G183" t="s">
        <v>159</v>
      </c>
      <c r="H183" t="s">
        <v>333</v>
      </c>
      <c r="I183" t="s">
        <v>130</v>
      </c>
      <c r="J183">
        <v>0</v>
      </c>
      <c r="K183">
        <v>31</v>
      </c>
      <c r="L183">
        <v>45</v>
      </c>
      <c r="M183">
        <v>75</v>
      </c>
      <c r="N183">
        <v>1289</v>
      </c>
      <c r="O183">
        <v>4010</v>
      </c>
      <c r="P183" t="str">
        <f t="shared" si="2"/>
        <v>Weekday</v>
      </c>
    </row>
    <row r="184" spans="1:16" x14ac:dyDescent="0.3">
      <c r="A184">
        <v>4020332650</v>
      </c>
      <c r="B184" s="1">
        <v>42458</v>
      </c>
      <c r="C184">
        <v>4152</v>
      </c>
      <c r="D184" t="s">
        <v>334</v>
      </c>
      <c r="E184" t="s">
        <v>334</v>
      </c>
      <c r="F184">
        <v>0</v>
      </c>
      <c r="G184">
        <v>0</v>
      </c>
      <c r="H184">
        <v>0</v>
      </c>
      <c r="I184" t="s">
        <v>335</v>
      </c>
      <c r="J184">
        <v>0</v>
      </c>
      <c r="K184">
        <v>0</v>
      </c>
      <c r="L184">
        <v>0</v>
      </c>
      <c r="M184">
        <v>187</v>
      </c>
      <c r="N184">
        <v>1253</v>
      </c>
      <c r="O184">
        <v>2976</v>
      </c>
      <c r="P184" t="str">
        <f t="shared" si="2"/>
        <v>Weekday</v>
      </c>
    </row>
    <row r="185" spans="1:16" x14ac:dyDescent="0.3">
      <c r="A185">
        <v>4020332650</v>
      </c>
      <c r="B185" s="1">
        <v>42459</v>
      </c>
      <c r="C185">
        <v>5400</v>
      </c>
      <c r="D185" t="s">
        <v>336</v>
      </c>
      <c r="E185" t="s">
        <v>336</v>
      </c>
      <c r="F185">
        <v>0</v>
      </c>
      <c r="G185">
        <v>0</v>
      </c>
      <c r="H185">
        <v>0</v>
      </c>
      <c r="I185" t="s">
        <v>337</v>
      </c>
      <c r="J185">
        <v>0</v>
      </c>
      <c r="K185">
        <v>0</v>
      </c>
      <c r="L185">
        <v>0</v>
      </c>
      <c r="M185">
        <v>258</v>
      </c>
      <c r="N185">
        <v>795</v>
      </c>
      <c r="O185">
        <v>3418</v>
      </c>
      <c r="P185" t="str">
        <f t="shared" si="2"/>
        <v>Weekday</v>
      </c>
    </row>
    <row r="186" spans="1:16" x14ac:dyDescent="0.3">
      <c r="A186">
        <v>4020332650</v>
      </c>
      <c r="B186" s="1">
        <v>42460</v>
      </c>
      <c r="C186">
        <v>7428</v>
      </c>
      <c r="D186" t="s">
        <v>188</v>
      </c>
      <c r="E186" t="s">
        <v>188</v>
      </c>
      <c r="F186">
        <v>0</v>
      </c>
      <c r="G186" t="s">
        <v>96</v>
      </c>
      <c r="H186" t="s">
        <v>338</v>
      </c>
      <c r="I186" t="s">
        <v>144</v>
      </c>
      <c r="J186">
        <v>0</v>
      </c>
      <c r="K186">
        <v>18</v>
      </c>
      <c r="L186">
        <v>33</v>
      </c>
      <c r="M186">
        <v>261</v>
      </c>
      <c r="N186">
        <v>860</v>
      </c>
      <c r="O186">
        <v>3439</v>
      </c>
      <c r="P186" t="str">
        <f t="shared" si="2"/>
        <v>Weekday</v>
      </c>
    </row>
    <row r="187" spans="1:16" x14ac:dyDescent="0.3">
      <c r="A187">
        <v>4020332650</v>
      </c>
      <c r="B187" s="1">
        <v>42461</v>
      </c>
      <c r="C187">
        <v>5351</v>
      </c>
      <c r="D187" t="s">
        <v>163</v>
      </c>
      <c r="E187" t="s">
        <v>163</v>
      </c>
      <c r="F187">
        <v>0</v>
      </c>
      <c r="G187" t="s">
        <v>339</v>
      </c>
      <c r="H187" t="s">
        <v>287</v>
      </c>
      <c r="I187" t="s">
        <v>286</v>
      </c>
      <c r="J187">
        <v>0</v>
      </c>
      <c r="K187">
        <v>15</v>
      </c>
      <c r="L187">
        <v>17</v>
      </c>
      <c r="M187">
        <v>210</v>
      </c>
      <c r="N187">
        <v>748</v>
      </c>
      <c r="O187">
        <v>3338</v>
      </c>
      <c r="P187" t="str">
        <f t="shared" si="2"/>
        <v>Weekday</v>
      </c>
    </row>
    <row r="188" spans="1:16" x14ac:dyDescent="0.3">
      <c r="A188">
        <v>4020332650</v>
      </c>
      <c r="B188" s="1">
        <v>42462</v>
      </c>
      <c r="C188">
        <v>4299</v>
      </c>
      <c r="D188" t="s">
        <v>340</v>
      </c>
      <c r="E188" t="s">
        <v>340</v>
      </c>
      <c r="F188">
        <v>0</v>
      </c>
      <c r="G188" t="s">
        <v>277</v>
      </c>
      <c r="H188" t="s">
        <v>130</v>
      </c>
      <c r="I188" t="s">
        <v>341</v>
      </c>
      <c r="J188" t="s">
        <v>261</v>
      </c>
      <c r="K188">
        <v>3</v>
      </c>
      <c r="L188">
        <v>15</v>
      </c>
      <c r="M188">
        <v>162</v>
      </c>
      <c r="N188">
        <v>752</v>
      </c>
      <c r="O188">
        <v>2892</v>
      </c>
      <c r="P188" t="str">
        <f t="shared" si="2"/>
        <v>Weekend</v>
      </c>
    </row>
    <row r="189" spans="1:16" x14ac:dyDescent="0.3">
      <c r="A189">
        <v>4020332650</v>
      </c>
      <c r="B189" s="1">
        <v>42463</v>
      </c>
      <c r="C189">
        <v>6107</v>
      </c>
      <c r="D189" t="s">
        <v>342</v>
      </c>
      <c r="E189" t="s">
        <v>342</v>
      </c>
      <c r="F189">
        <v>0</v>
      </c>
      <c r="G189">
        <v>0</v>
      </c>
      <c r="H189">
        <v>0</v>
      </c>
      <c r="I189" t="s">
        <v>343</v>
      </c>
      <c r="J189">
        <v>0</v>
      </c>
      <c r="K189">
        <v>0</v>
      </c>
      <c r="L189">
        <v>0</v>
      </c>
      <c r="M189">
        <v>265</v>
      </c>
      <c r="N189">
        <v>776</v>
      </c>
      <c r="O189">
        <v>3313</v>
      </c>
      <c r="P189" t="str">
        <f t="shared" si="2"/>
        <v>Weekend</v>
      </c>
    </row>
    <row r="190" spans="1:16" x14ac:dyDescent="0.3">
      <c r="A190">
        <v>4020332650</v>
      </c>
      <c r="B190" s="1">
        <v>42464</v>
      </c>
      <c r="C190">
        <v>6429</v>
      </c>
      <c r="D190" t="s">
        <v>344</v>
      </c>
      <c r="E190" t="s">
        <v>344</v>
      </c>
      <c r="F190">
        <v>0</v>
      </c>
      <c r="G190">
        <v>0</v>
      </c>
      <c r="H190" t="s">
        <v>345</v>
      </c>
      <c r="I190" t="s">
        <v>346</v>
      </c>
      <c r="J190">
        <v>0</v>
      </c>
      <c r="K190">
        <v>0</v>
      </c>
      <c r="L190">
        <v>28</v>
      </c>
      <c r="M190">
        <v>193</v>
      </c>
      <c r="N190">
        <v>741</v>
      </c>
      <c r="O190">
        <v>3118</v>
      </c>
      <c r="P190" t="str">
        <f t="shared" si="2"/>
        <v>Weekday</v>
      </c>
    </row>
    <row r="191" spans="1:16" x14ac:dyDescent="0.3">
      <c r="A191">
        <v>4020332650</v>
      </c>
      <c r="B191" s="1">
        <v>42465</v>
      </c>
      <c r="C191">
        <v>6880</v>
      </c>
      <c r="D191" t="s">
        <v>347</v>
      </c>
      <c r="E191" t="s">
        <v>347</v>
      </c>
      <c r="F191">
        <v>0</v>
      </c>
      <c r="G191" t="s">
        <v>348</v>
      </c>
      <c r="H191" t="s">
        <v>59</v>
      </c>
      <c r="I191" t="s">
        <v>346</v>
      </c>
      <c r="J191">
        <v>0</v>
      </c>
      <c r="K191">
        <v>7</v>
      </c>
      <c r="L191">
        <v>19</v>
      </c>
      <c r="M191">
        <v>165</v>
      </c>
      <c r="N191">
        <v>1249</v>
      </c>
      <c r="O191">
        <v>2966</v>
      </c>
      <c r="P191" t="str">
        <f t="shared" si="2"/>
        <v>Weekday</v>
      </c>
    </row>
    <row r="192" spans="1:16" x14ac:dyDescent="0.3">
      <c r="A192">
        <v>4020332650</v>
      </c>
      <c r="B192" s="1">
        <v>42466</v>
      </c>
      <c r="C192">
        <v>7476</v>
      </c>
      <c r="D192" t="s">
        <v>125</v>
      </c>
      <c r="E192" t="s">
        <v>125</v>
      </c>
      <c r="F192">
        <v>0</v>
      </c>
      <c r="G192">
        <v>0</v>
      </c>
      <c r="H192">
        <v>0</v>
      </c>
      <c r="I192" t="s">
        <v>349</v>
      </c>
      <c r="J192">
        <v>0</v>
      </c>
      <c r="K192">
        <v>0</v>
      </c>
      <c r="L192">
        <v>0</v>
      </c>
      <c r="M192">
        <v>263</v>
      </c>
      <c r="N192">
        <v>920</v>
      </c>
      <c r="O192">
        <v>3253</v>
      </c>
      <c r="P192" t="str">
        <f t="shared" si="2"/>
        <v>Weekday</v>
      </c>
    </row>
    <row r="193" spans="1:16" x14ac:dyDescent="0.3">
      <c r="A193">
        <v>4020332650</v>
      </c>
      <c r="B193" s="1">
        <v>42467</v>
      </c>
      <c r="C193">
        <v>6581</v>
      </c>
      <c r="D193" t="s">
        <v>189</v>
      </c>
      <c r="E193" t="s">
        <v>189</v>
      </c>
      <c r="F193">
        <v>0</v>
      </c>
      <c r="G193">
        <v>0</v>
      </c>
      <c r="H193" t="s">
        <v>350</v>
      </c>
      <c r="I193" t="s">
        <v>276</v>
      </c>
      <c r="J193">
        <v>0</v>
      </c>
      <c r="K193">
        <v>0</v>
      </c>
      <c r="L193">
        <v>8</v>
      </c>
      <c r="M193">
        <v>241</v>
      </c>
      <c r="N193">
        <v>1191</v>
      </c>
      <c r="O193">
        <v>3032</v>
      </c>
      <c r="P193" t="str">
        <f t="shared" si="2"/>
        <v>Weekday</v>
      </c>
    </row>
    <row r="194" spans="1:16" x14ac:dyDescent="0.3">
      <c r="A194">
        <v>4020332650</v>
      </c>
      <c r="B194" s="1">
        <v>42468</v>
      </c>
      <c r="C194">
        <v>10480</v>
      </c>
      <c r="D194" t="s">
        <v>351</v>
      </c>
      <c r="E194" t="s">
        <v>351</v>
      </c>
      <c r="F194">
        <v>0</v>
      </c>
      <c r="G194" t="s">
        <v>259</v>
      </c>
      <c r="H194" t="s">
        <v>352</v>
      </c>
      <c r="I194" t="s">
        <v>353</v>
      </c>
      <c r="J194" t="s">
        <v>261</v>
      </c>
      <c r="K194">
        <v>6</v>
      </c>
      <c r="L194">
        <v>37</v>
      </c>
      <c r="M194">
        <v>272</v>
      </c>
      <c r="N194">
        <v>1125</v>
      </c>
      <c r="O194">
        <v>4034</v>
      </c>
      <c r="P194" t="str">
        <f t="shared" si="2"/>
        <v>Weekday</v>
      </c>
    </row>
    <row r="195" spans="1:16" x14ac:dyDescent="0.3">
      <c r="A195">
        <v>4020332650</v>
      </c>
      <c r="B195" s="1">
        <v>42469</v>
      </c>
      <c r="C195">
        <v>7734</v>
      </c>
      <c r="D195" t="s">
        <v>354</v>
      </c>
      <c r="E195" t="s">
        <v>354</v>
      </c>
      <c r="F195">
        <v>0</v>
      </c>
      <c r="G195" t="s">
        <v>355</v>
      </c>
      <c r="H195" t="s">
        <v>41</v>
      </c>
      <c r="I195" t="s">
        <v>356</v>
      </c>
      <c r="J195" t="s">
        <v>202</v>
      </c>
      <c r="K195">
        <v>20</v>
      </c>
      <c r="L195">
        <v>12</v>
      </c>
      <c r="M195">
        <v>223</v>
      </c>
      <c r="N195">
        <v>1185</v>
      </c>
      <c r="O195">
        <v>3264</v>
      </c>
      <c r="P195" t="str">
        <f t="shared" ref="P195:P258" si="3">IF(OR(WEEKDAY(B195,2)=6, WEEKDAY(B195,2)=7),"Weekend","Weekday")</f>
        <v>Weekend</v>
      </c>
    </row>
    <row r="196" spans="1:16" x14ac:dyDescent="0.3">
      <c r="A196">
        <v>4020332650</v>
      </c>
      <c r="B196" s="1">
        <v>42470</v>
      </c>
      <c r="C196">
        <v>5129</v>
      </c>
      <c r="D196" t="s">
        <v>229</v>
      </c>
      <c r="E196" t="s">
        <v>229</v>
      </c>
      <c r="F196">
        <v>0</v>
      </c>
      <c r="G196" t="s">
        <v>287</v>
      </c>
      <c r="H196" t="s">
        <v>357</v>
      </c>
      <c r="I196" t="s">
        <v>271</v>
      </c>
      <c r="J196" t="s">
        <v>84</v>
      </c>
      <c r="K196">
        <v>5</v>
      </c>
      <c r="L196">
        <v>7</v>
      </c>
      <c r="M196">
        <v>176</v>
      </c>
      <c r="N196">
        <v>1178</v>
      </c>
      <c r="O196">
        <v>2817</v>
      </c>
      <c r="P196" t="str">
        <f t="shared" si="3"/>
        <v>Weekend</v>
      </c>
    </row>
    <row r="197" spans="1:16" x14ac:dyDescent="0.3">
      <c r="A197">
        <v>4020332650</v>
      </c>
      <c r="B197" s="1">
        <v>42471</v>
      </c>
      <c r="C197">
        <v>2993</v>
      </c>
      <c r="D197" t="s">
        <v>91</v>
      </c>
      <c r="E197" t="s">
        <v>91</v>
      </c>
      <c r="F197">
        <v>0</v>
      </c>
      <c r="G197">
        <v>0</v>
      </c>
      <c r="H197">
        <v>0</v>
      </c>
      <c r="I197" t="s">
        <v>358</v>
      </c>
      <c r="J197">
        <v>0</v>
      </c>
      <c r="K197">
        <v>0</v>
      </c>
      <c r="L197">
        <v>0</v>
      </c>
      <c r="M197">
        <v>114</v>
      </c>
      <c r="N197">
        <v>888</v>
      </c>
      <c r="O197">
        <v>2507</v>
      </c>
      <c r="P197" t="str">
        <f t="shared" si="3"/>
        <v>Weekday</v>
      </c>
    </row>
    <row r="198" spans="1:16" x14ac:dyDescent="0.3">
      <c r="A198">
        <v>4020332650</v>
      </c>
      <c r="B198" s="1">
        <v>42472</v>
      </c>
      <c r="C198">
        <v>8</v>
      </c>
      <c r="D198" t="s">
        <v>84</v>
      </c>
      <c r="E198" t="s">
        <v>84</v>
      </c>
      <c r="F198">
        <v>0</v>
      </c>
      <c r="G198">
        <v>0</v>
      </c>
      <c r="H198">
        <v>0</v>
      </c>
      <c r="I198" t="s">
        <v>84</v>
      </c>
      <c r="J198">
        <v>0</v>
      </c>
      <c r="K198">
        <v>0</v>
      </c>
      <c r="L198">
        <v>0</v>
      </c>
      <c r="M198">
        <v>1</v>
      </c>
      <c r="N198">
        <v>321</v>
      </c>
      <c r="O198">
        <v>446</v>
      </c>
      <c r="P198" t="str">
        <f t="shared" si="3"/>
        <v>Weekday</v>
      </c>
    </row>
    <row r="199" spans="1:16" hidden="1" x14ac:dyDescent="0.3">
      <c r="A199">
        <v>4057192912</v>
      </c>
      <c r="B199" s="1">
        <v>42441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1440</v>
      </c>
      <c r="O199">
        <v>1777</v>
      </c>
      <c r="P199" t="str">
        <f t="shared" si="3"/>
        <v>Weekend</v>
      </c>
    </row>
    <row r="200" spans="1:16" hidden="1" x14ac:dyDescent="0.3">
      <c r="A200">
        <v>4057192912</v>
      </c>
      <c r="B200" s="1">
        <v>42442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1440</v>
      </c>
      <c r="O200">
        <v>1777</v>
      </c>
      <c r="P200" t="str">
        <f t="shared" si="3"/>
        <v>Weekend</v>
      </c>
    </row>
    <row r="201" spans="1:16" x14ac:dyDescent="0.3">
      <c r="A201">
        <v>4057192912</v>
      </c>
      <c r="B201" s="1">
        <v>42443</v>
      </c>
      <c r="C201">
        <v>8433</v>
      </c>
      <c r="D201" t="s">
        <v>234</v>
      </c>
      <c r="E201" t="s">
        <v>234</v>
      </c>
      <c r="F201">
        <v>0</v>
      </c>
      <c r="G201" t="s">
        <v>128</v>
      </c>
      <c r="H201" t="s">
        <v>241</v>
      </c>
      <c r="I201" t="s">
        <v>359</v>
      </c>
      <c r="J201">
        <v>0</v>
      </c>
      <c r="K201">
        <v>30</v>
      </c>
      <c r="L201">
        <v>7</v>
      </c>
      <c r="M201">
        <v>135</v>
      </c>
      <c r="N201">
        <v>1268</v>
      </c>
      <c r="O201">
        <v>2453</v>
      </c>
      <c r="P201" t="str">
        <f t="shared" si="3"/>
        <v>Weekday</v>
      </c>
    </row>
    <row r="202" spans="1:16" hidden="1" x14ac:dyDescent="0.3">
      <c r="A202">
        <v>4057192912</v>
      </c>
      <c r="B202" s="1">
        <v>42444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1440</v>
      </c>
      <c r="O202">
        <v>1776</v>
      </c>
      <c r="P202" t="str">
        <f t="shared" si="3"/>
        <v>Weekday</v>
      </c>
    </row>
    <row r="203" spans="1:16" x14ac:dyDescent="0.3">
      <c r="A203">
        <v>4057192912</v>
      </c>
      <c r="B203" s="1">
        <v>42445</v>
      </c>
      <c r="C203">
        <v>2139</v>
      </c>
      <c r="D203" t="s">
        <v>121</v>
      </c>
      <c r="E203" t="s">
        <v>121</v>
      </c>
      <c r="F203">
        <v>0</v>
      </c>
      <c r="G203">
        <v>0</v>
      </c>
      <c r="H203" t="s">
        <v>273</v>
      </c>
      <c r="I203" t="s">
        <v>323</v>
      </c>
      <c r="J203">
        <v>0</v>
      </c>
      <c r="K203">
        <v>0</v>
      </c>
      <c r="L203">
        <v>28</v>
      </c>
      <c r="M203">
        <v>15</v>
      </c>
      <c r="N203">
        <v>1397</v>
      </c>
      <c r="O203">
        <v>1935</v>
      </c>
      <c r="P203" t="str">
        <f t="shared" si="3"/>
        <v>Weekday</v>
      </c>
    </row>
    <row r="204" spans="1:16" hidden="1" x14ac:dyDescent="0.3">
      <c r="A204">
        <v>4057192912</v>
      </c>
      <c r="B204" s="1">
        <v>42446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1440</v>
      </c>
      <c r="O204">
        <v>1776</v>
      </c>
      <c r="P204" t="str">
        <f t="shared" si="3"/>
        <v>Weekday</v>
      </c>
    </row>
    <row r="205" spans="1:16" x14ac:dyDescent="0.3">
      <c r="A205">
        <v>4057192912</v>
      </c>
      <c r="B205" s="1">
        <v>42447</v>
      </c>
      <c r="C205">
        <v>949</v>
      </c>
      <c r="D205" t="s">
        <v>254</v>
      </c>
      <c r="E205" t="s">
        <v>254</v>
      </c>
      <c r="F205">
        <v>0</v>
      </c>
      <c r="G205">
        <v>0</v>
      </c>
      <c r="H205">
        <v>0</v>
      </c>
      <c r="I205" t="s">
        <v>254</v>
      </c>
      <c r="J205">
        <v>0</v>
      </c>
      <c r="K205">
        <v>0</v>
      </c>
      <c r="L205">
        <v>0</v>
      </c>
      <c r="M205">
        <v>34</v>
      </c>
      <c r="N205">
        <v>1406</v>
      </c>
      <c r="O205">
        <v>1870</v>
      </c>
      <c r="P205" t="str">
        <f t="shared" si="3"/>
        <v>Weekday</v>
      </c>
    </row>
    <row r="206" spans="1:16" hidden="1" x14ac:dyDescent="0.3">
      <c r="A206">
        <v>4057192912</v>
      </c>
      <c r="B206" s="1">
        <v>42448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1440</v>
      </c>
      <c r="O206">
        <v>1777</v>
      </c>
      <c r="P206" t="str">
        <f t="shared" si="3"/>
        <v>Weekend</v>
      </c>
    </row>
    <row r="207" spans="1:16" x14ac:dyDescent="0.3">
      <c r="A207">
        <v>4057192912</v>
      </c>
      <c r="B207" s="1">
        <v>42449</v>
      </c>
      <c r="C207">
        <v>44</v>
      </c>
      <c r="D207" t="s">
        <v>102</v>
      </c>
      <c r="E207" t="s">
        <v>102</v>
      </c>
      <c r="F207">
        <v>0</v>
      </c>
      <c r="G207">
        <v>0</v>
      </c>
      <c r="H207">
        <v>0</v>
      </c>
      <c r="I207" t="s">
        <v>102</v>
      </c>
      <c r="J207">
        <v>0</v>
      </c>
      <c r="K207">
        <v>0</v>
      </c>
      <c r="L207">
        <v>0</v>
      </c>
      <c r="M207">
        <v>2</v>
      </c>
      <c r="N207">
        <v>1438</v>
      </c>
      <c r="O207">
        <v>1782</v>
      </c>
      <c r="P207" t="str">
        <f t="shared" si="3"/>
        <v>Weekend</v>
      </c>
    </row>
    <row r="208" spans="1:16" x14ac:dyDescent="0.3">
      <c r="A208">
        <v>4057192912</v>
      </c>
      <c r="B208" s="1">
        <v>42450</v>
      </c>
      <c r="C208">
        <v>2660</v>
      </c>
      <c r="D208" t="s">
        <v>360</v>
      </c>
      <c r="E208" t="s">
        <v>360</v>
      </c>
      <c r="F208">
        <v>0</v>
      </c>
      <c r="G208">
        <v>0</v>
      </c>
      <c r="H208">
        <v>0</v>
      </c>
      <c r="I208" t="s">
        <v>360</v>
      </c>
      <c r="J208">
        <v>0</v>
      </c>
      <c r="K208">
        <v>0</v>
      </c>
      <c r="L208">
        <v>0</v>
      </c>
      <c r="M208">
        <v>46</v>
      </c>
      <c r="N208">
        <v>1394</v>
      </c>
      <c r="O208">
        <v>1978</v>
      </c>
      <c r="P208" t="str">
        <f t="shared" si="3"/>
        <v>Weekday</v>
      </c>
    </row>
    <row r="209" spans="1:16" x14ac:dyDescent="0.3">
      <c r="A209">
        <v>4057192912</v>
      </c>
      <c r="B209" s="1">
        <v>42451</v>
      </c>
      <c r="C209">
        <v>5561</v>
      </c>
      <c r="D209" t="s">
        <v>143</v>
      </c>
      <c r="E209" t="s">
        <v>143</v>
      </c>
      <c r="F209">
        <v>0</v>
      </c>
      <c r="G209">
        <v>0</v>
      </c>
      <c r="H209">
        <v>0</v>
      </c>
      <c r="I209" t="s">
        <v>18</v>
      </c>
      <c r="J209">
        <v>0</v>
      </c>
      <c r="K209">
        <v>0</v>
      </c>
      <c r="L209">
        <v>0</v>
      </c>
      <c r="M209">
        <v>169</v>
      </c>
      <c r="N209">
        <v>1271</v>
      </c>
      <c r="O209">
        <v>2296</v>
      </c>
      <c r="P209" t="str">
        <f t="shared" si="3"/>
        <v>Weekday</v>
      </c>
    </row>
    <row r="210" spans="1:16" x14ac:dyDescent="0.3">
      <c r="A210">
        <v>4057192912</v>
      </c>
      <c r="B210" s="1">
        <v>42452</v>
      </c>
      <c r="C210">
        <v>7239</v>
      </c>
      <c r="D210" t="s">
        <v>361</v>
      </c>
      <c r="E210" t="s">
        <v>361</v>
      </c>
      <c r="F210">
        <v>0</v>
      </c>
      <c r="G210" t="s">
        <v>362</v>
      </c>
      <c r="H210" t="s">
        <v>155</v>
      </c>
      <c r="I210" t="s">
        <v>342</v>
      </c>
      <c r="J210">
        <v>0</v>
      </c>
      <c r="K210">
        <v>7</v>
      </c>
      <c r="L210">
        <v>7</v>
      </c>
      <c r="M210">
        <v>190</v>
      </c>
      <c r="N210">
        <v>1236</v>
      </c>
      <c r="O210">
        <v>2484</v>
      </c>
      <c r="P210" t="str">
        <f t="shared" si="3"/>
        <v>Weekday</v>
      </c>
    </row>
    <row r="211" spans="1:16" x14ac:dyDescent="0.3">
      <c r="A211">
        <v>4057192912</v>
      </c>
      <c r="B211" s="1">
        <v>42453</v>
      </c>
      <c r="C211">
        <v>7</v>
      </c>
      <c r="D211" t="s">
        <v>84</v>
      </c>
      <c r="E211" t="s">
        <v>84</v>
      </c>
      <c r="F211">
        <v>0</v>
      </c>
      <c r="G211">
        <v>0</v>
      </c>
      <c r="H211">
        <v>0</v>
      </c>
      <c r="I211" t="s">
        <v>84</v>
      </c>
      <c r="J211">
        <v>0</v>
      </c>
      <c r="K211">
        <v>0</v>
      </c>
      <c r="L211">
        <v>0</v>
      </c>
      <c r="M211">
        <v>1</v>
      </c>
      <c r="N211">
        <v>1439</v>
      </c>
      <c r="O211">
        <v>1787</v>
      </c>
      <c r="P211" t="str">
        <f t="shared" si="3"/>
        <v>Weekday</v>
      </c>
    </row>
    <row r="212" spans="1:16" hidden="1" x14ac:dyDescent="0.3">
      <c r="A212">
        <v>4057192912</v>
      </c>
      <c r="B212" s="1">
        <v>42454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1440</v>
      </c>
      <c r="O212">
        <v>1776</v>
      </c>
      <c r="P212" t="str">
        <f t="shared" si="3"/>
        <v>Weekday</v>
      </c>
    </row>
    <row r="213" spans="1:16" hidden="1" x14ac:dyDescent="0.3">
      <c r="A213">
        <v>4057192912</v>
      </c>
      <c r="B213" s="1">
        <v>42455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1440</v>
      </c>
      <c r="O213">
        <v>1776</v>
      </c>
      <c r="P213" t="str">
        <f t="shared" si="3"/>
        <v>Weekend</v>
      </c>
    </row>
    <row r="214" spans="1:16" x14ac:dyDescent="0.3">
      <c r="A214">
        <v>4057192912</v>
      </c>
      <c r="B214" s="1">
        <v>42456</v>
      </c>
      <c r="C214">
        <v>2275</v>
      </c>
      <c r="D214" t="s">
        <v>270</v>
      </c>
      <c r="E214" t="s">
        <v>270</v>
      </c>
      <c r="F214">
        <v>0</v>
      </c>
      <c r="G214">
        <v>0</v>
      </c>
      <c r="H214">
        <v>0</v>
      </c>
      <c r="I214" t="s">
        <v>363</v>
      </c>
      <c r="J214">
        <v>0</v>
      </c>
      <c r="K214">
        <v>0</v>
      </c>
      <c r="L214">
        <v>0</v>
      </c>
      <c r="M214">
        <v>86</v>
      </c>
      <c r="N214">
        <v>1354</v>
      </c>
      <c r="O214">
        <v>2005</v>
      </c>
      <c r="P214" t="str">
        <f t="shared" si="3"/>
        <v>Weekend</v>
      </c>
    </row>
    <row r="215" spans="1:16" x14ac:dyDescent="0.3">
      <c r="A215">
        <v>4057192912</v>
      </c>
      <c r="B215" s="1">
        <v>42457</v>
      </c>
      <c r="C215">
        <v>8</v>
      </c>
      <c r="D215" t="s">
        <v>84</v>
      </c>
      <c r="E215" t="s">
        <v>84</v>
      </c>
      <c r="F215">
        <v>0</v>
      </c>
      <c r="G215">
        <v>0</v>
      </c>
      <c r="H215">
        <v>0</v>
      </c>
      <c r="I215" t="s">
        <v>84</v>
      </c>
      <c r="J215">
        <v>0</v>
      </c>
      <c r="K215">
        <v>0</v>
      </c>
      <c r="L215">
        <v>0</v>
      </c>
      <c r="M215">
        <v>1</v>
      </c>
      <c r="N215">
        <v>1439</v>
      </c>
      <c r="O215">
        <v>1778</v>
      </c>
      <c r="P215" t="str">
        <f t="shared" si="3"/>
        <v>Weekday</v>
      </c>
    </row>
    <row r="216" spans="1:16" x14ac:dyDescent="0.3">
      <c r="A216">
        <v>4057192912</v>
      </c>
      <c r="B216" s="1">
        <v>42458</v>
      </c>
      <c r="C216">
        <v>5137</v>
      </c>
      <c r="D216" t="s">
        <v>364</v>
      </c>
      <c r="E216" t="s">
        <v>364</v>
      </c>
      <c r="F216">
        <v>0</v>
      </c>
      <c r="G216">
        <v>0</v>
      </c>
      <c r="H216">
        <v>0</v>
      </c>
      <c r="I216" t="s">
        <v>364</v>
      </c>
      <c r="J216">
        <v>0</v>
      </c>
      <c r="K216">
        <v>0</v>
      </c>
      <c r="L216">
        <v>0</v>
      </c>
      <c r="M216">
        <v>160</v>
      </c>
      <c r="N216">
        <v>1280</v>
      </c>
      <c r="O216">
        <v>2293</v>
      </c>
      <c r="P216" t="str">
        <f t="shared" si="3"/>
        <v>Weekday</v>
      </c>
    </row>
    <row r="217" spans="1:16" x14ac:dyDescent="0.3">
      <c r="A217">
        <v>4057192912</v>
      </c>
      <c r="B217" s="1">
        <v>42459</v>
      </c>
      <c r="C217">
        <v>5419</v>
      </c>
      <c r="D217">
        <v>4</v>
      </c>
      <c r="E217" t="s">
        <v>365</v>
      </c>
      <c r="F217" t="s">
        <v>366</v>
      </c>
      <c r="G217">
        <v>0</v>
      </c>
      <c r="H217">
        <v>0</v>
      </c>
      <c r="I217" t="s">
        <v>22</v>
      </c>
      <c r="J217" t="s">
        <v>202</v>
      </c>
      <c r="K217">
        <v>0</v>
      </c>
      <c r="L217">
        <v>0</v>
      </c>
      <c r="M217">
        <v>145</v>
      </c>
      <c r="N217">
        <v>1295</v>
      </c>
      <c r="O217">
        <v>2259</v>
      </c>
      <c r="P217" t="str">
        <f t="shared" si="3"/>
        <v>Weekday</v>
      </c>
    </row>
    <row r="218" spans="1:16" hidden="1" x14ac:dyDescent="0.3">
      <c r="A218">
        <v>4057192912</v>
      </c>
      <c r="B218" s="1">
        <v>42460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1440</v>
      </c>
      <c r="O218">
        <v>1776</v>
      </c>
      <c r="P218" t="str">
        <f t="shared" si="3"/>
        <v>Weekday</v>
      </c>
    </row>
    <row r="219" spans="1:16" hidden="1" x14ac:dyDescent="0.3">
      <c r="A219">
        <v>4057192912</v>
      </c>
      <c r="B219" s="1">
        <v>42461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1440</v>
      </c>
      <c r="O219">
        <v>1776</v>
      </c>
      <c r="P219" t="str">
        <f t="shared" si="3"/>
        <v>Weekday</v>
      </c>
    </row>
    <row r="220" spans="1:16" hidden="1" x14ac:dyDescent="0.3">
      <c r="A220">
        <v>4057192912</v>
      </c>
      <c r="B220" s="1">
        <v>42462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1440</v>
      </c>
      <c r="O220">
        <v>1776</v>
      </c>
      <c r="P220" t="str">
        <f t="shared" si="3"/>
        <v>Weekend</v>
      </c>
    </row>
    <row r="221" spans="1:16" hidden="1" x14ac:dyDescent="0.3">
      <c r="A221">
        <v>4057192912</v>
      </c>
      <c r="B221" s="1">
        <v>42463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1440</v>
      </c>
      <c r="O221">
        <v>1776</v>
      </c>
      <c r="P221" t="str">
        <f t="shared" si="3"/>
        <v>Weekend</v>
      </c>
    </row>
    <row r="222" spans="1:16" hidden="1" x14ac:dyDescent="0.3">
      <c r="A222">
        <v>4057192912</v>
      </c>
      <c r="B222" s="1">
        <v>42464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1440</v>
      </c>
      <c r="O222">
        <v>1776</v>
      </c>
      <c r="P222" t="str">
        <f t="shared" si="3"/>
        <v>Weekday</v>
      </c>
    </row>
    <row r="223" spans="1:16" hidden="1" x14ac:dyDescent="0.3">
      <c r="A223">
        <v>4057192912</v>
      </c>
      <c r="B223" s="1">
        <v>42465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1440</v>
      </c>
      <c r="O223">
        <v>1776</v>
      </c>
      <c r="P223" t="str">
        <f t="shared" si="3"/>
        <v>Weekday</v>
      </c>
    </row>
    <row r="224" spans="1:16" x14ac:dyDescent="0.3">
      <c r="A224">
        <v>4057192912</v>
      </c>
      <c r="B224" s="1">
        <v>42466</v>
      </c>
      <c r="C224">
        <v>18</v>
      </c>
      <c r="D224" t="s">
        <v>84</v>
      </c>
      <c r="E224" t="s">
        <v>84</v>
      </c>
      <c r="F224">
        <v>0</v>
      </c>
      <c r="G224">
        <v>0</v>
      </c>
      <c r="H224">
        <v>0</v>
      </c>
      <c r="I224" t="s">
        <v>84</v>
      </c>
      <c r="J224">
        <v>0</v>
      </c>
      <c r="K224">
        <v>0</v>
      </c>
      <c r="L224">
        <v>0</v>
      </c>
      <c r="M224">
        <v>2</v>
      </c>
      <c r="N224">
        <v>1438</v>
      </c>
      <c r="O224">
        <v>1780</v>
      </c>
      <c r="P224" t="str">
        <f t="shared" si="3"/>
        <v>Weekday</v>
      </c>
    </row>
    <row r="225" spans="1:16" x14ac:dyDescent="0.3">
      <c r="A225">
        <v>4057192912</v>
      </c>
      <c r="B225" s="1">
        <v>42467</v>
      </c>
      <c r="C225">
        <v>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1439</v>
      </c>
      <c r="O225">
        <v>1778</v>
      </c>
      <c r="P225" t="str">
        <f t="shared" si="3"/>
        <v>Weekday</v>
      </c>
    </row>
    <row r="226" spans="1:16" x14ac:dyDescent="0.3">
      <c r="A226">
        <v>4057192912</v>
      </c>
      <c r="B226" s="1">
        <v>42468</v>
      </c>
      <c r="C226">
        <v>8426</v>
      </c>
      <c r="D226" t="s">
        <v>367</v>
      </c>
      <c r="E226" t="s">
        <v>367</v>
      </c>
      <c r="F226">
        <v>0</v>
      </c>
      <c r="G226" t="s">
        <v>81</v>
      </c>
      <c r="H226" t="s">
        <v>368</v>
      </c>
      <c r="I226" t="s">
        <v>369</v>
      </c>
      <c r="J226">
        <v>0</v>
      </c>
      <c r="K226">
        <v>2</v>
      </c>
      <c r="L226">
        <v>120</v>
      </c>
      <c r="M226">
        <v>25</v>
      </c>
      <c r="N226">
        <v>1293</v>
      </c>
      <c r="O226">
        <v>2360</v>
      </c>
      <c r="P226" t="str">
        <f t="shared" si="3"/>
        <v>Weekday</v>
      </c>
    </row>
    <row r="227" spans="1:16" x14ac:dyDescent="0.3">
      <c r="A227">
        <v>4057192912</v>
      </c>
      <c r="B227" s="1">
        <v>42469</v>
      </c>
      <c r="C227">
        <v>1650</v>
      </c>
      <c r="D227" t="s">
        <v>187</v>
      </c>
      <c r="E227" t="s">
        <v>187</v>
      </c>
      <c r="F227">
        <v>0</v>
      </c>
      <c r="G227">
        <v>0</v>
      </c>
      <c r="H227">
        <v>0</v>
      </c>
      <c r="I227" t="s">
        <v>187</v>
      </c>
      <c r="J227">
        <v>0</v>
      </c>
      <c r="K227">
        <v>0</v>
      </c>
      <c r="L227">
        <v>0</v>
      </c>
      <c r="M227">
        <v>60</v>
      </c>
      <c r="N227">
        <v>1380</v>
      </c>
      <c r="O227">
        <v>1952</v>
      </c>
      <c r="P227" t="str">
        <f t="shared" si="3"/>
        <v>Weekend</v>
      </c>
    </row>
    <row r="228" spans="1:16" x14ac:dyDescent="0.3">
      <c r="A228">
        <v>4057192912</v>
      </c>
      <c r="B228" s="1">
        <v>42470</v>
      </c>
      <c r="C228">
        <v>3434</v>
      </c>
      <c r="D228" t="s">
        <v>370</v>
      </c>
      <c r="E228" t="s">
        <v>370</v>
      </c>
      <c r="F228">
        <v>0</v>
      </c>
      <c r="G228" t="s">
        <v>311</v>
      </c>
      <c r="H228" t="s">
        <v>371</v>
      </c>
      <c r="I228" t="s">
        <v>310</v>
      </c>
      <c r="J228">
        <v>0</v>
      </c>
      <c r="K228">
        <v>1</v>
      </c>
      <c r="L228">
        <v>7</v>
      </c>
      <c r="M228">
        <v>108</v>
      </c>
      <c r="N228">
        <v>1324</v>
      </c>
      <c r="O228">
        <v>2101</v>
      </c>
      <c r="P228" t="str">
        <f t="shared" si="3"/>
        <v>Weekend</v>
      </c>
    </row>
    <row r="229" spans="1:16" x14ac:dyDescent="0.3">
      <c r="A229">
        <v>4057192912</v>
      </c>
      <c r="B229" s="1">
        <v>42471</v>
      </c>
      <c r="C229">
        <v>6801</v>
      </c>
      <c r="D229" t="s">
        <v>372</v>
      </c>
      <c r="E229" t="s">
        <v>372</v>
      </c>
      <c r="F229">
        <v>0</v>
      </c>
      <c r="G229">
        <v>0</v>
      </c>
      <c r="H229">
        <v>0</v>
      </c>
      <c r="I229" t="s">
        <v>373</v>
      </c>
      <c r="J229">
        <v>0</v>
      </c>
      <c r="K229">
        <v>0</v>
      </c>
      <c r="L229">
        <v>0</v>
      </c>
      <c r="M229">
        <v>193</v>
      </c>
      <c r="N229">
        <v>1247</v>
      </c>
      <c r="O229">
        <v>2393</v>
      </c>
      <c r="P229" t="str">
        <f t="shared" si="3"/>
        <v>Weekday</v>
      </c>
    </row>
    <row r="230" spans="1:16" x14ac:dyDescent="0.3">
      <c r="A230">
        <v>4057192912</v>
      </c>
      <c r="B230" s="1">
        <v>42472</v>
      </c>
      <c r="C230">
        <v>187</v>
      </c>
      <c r="D230" t="s">
        <v>80</v>
      </c>
      <c r="E230" t="s">
        <v>80</v>
      </c>
      <c r="F230">
        <v>0</v>
      </c>
      <c r="G230">
        <v>0</v>
      </c>
      <c r="H230">
        <v>0</v>
      </c>
      <c r="I230" t="s">
        <v>80</v>
      </c>
      <c r="J230">
        <v>0</v>
      </c>
      <c r="K230">
        <v>0</v>
      </c>
      <c r="L230">
        <v>0</v>
      </c>
      <c r="M230">
        <v>11</v>
      </c>
      <c r="N230">
        <v>400</v>
      </c>
      <c r="O230">
        <v>538</v>
      </c>
      <c r="P230" t="str">
        <f t="shared" si="3"/>
        <v>Weekday</v>
      </c>
    </row>
    <row r="231" spans="1:16" x14ac:dyDescent="0.3">
      <c r="A231">
        <v>4319703577</v>
      </c>
      <c r="B231" s="1">
        <v>42458</v>
      </c>
      <c r="C231">
        <v>5643</v>
      </c>
      <c r="D231" t="s">
        <v>117</v>
      </c>
      <c r="E231" t="s">
        <v>117</v>
      </c>
      <c r="F231">
        <v>0</v>
      </c>
      <c r="G231" t="s">
        <v>374</v>
      </c>
      <c r="H231" t="s">
        <v>241</v>
      </c>
      <c r="I231" t="s">
        <v>178</v>
      </c>
      <c r="J231">
        <v>0</v>
      </c>
      <c r="K231">
        <v>3</v>
      </c>
      <c r="L231">
        <v>8</v>
      </c>
      <c r="M231">
        <v>199</v>
      </c>
      <c r="N231">
        <v>683</v>
      </c>
      <c r="O231">
        <v>1958</v>
      </c>
      <c r="P231" t="str">
        <f t="shared" si="3"/>
        <v>Weekday</v>
      </c>
    </row>
    <row r="232" spans="1:16" x14ac:dyDescent="0.3">
      <c r="A232">
        <v>4319703577</v>
      </c>
      <c r="B232" s="1">
        <v>42459</v>
      </c>
      <c r="C232">
        <v>9043</v>
      </c>
      <c r="D232" t="s">
        <v>375</v>
      </c>
      <c r="E232" t="s">
        <v>375</v>
      </c>
      <c r="F232">
        <v>0</v>
      </c>
      <c r="G232" t="s">
        <v>105</v>
      </c>
      <c r="H232" t="s">
        <v>376</v>
      </c>
      <c r="I232" t="s">
        <v>377</v>
      </c>
      <c r="J232">
        <v>0</v>
      </c>
      <c r="K232">
        <v>4</v>
      </c>
      <c r="L232">
        <v>12</v>
      </c>
      <c r="M232">
        <v>244</v>
      </c>
      <c r="N232">
        <v>702</v>
      </c>
      <c r="O232">
        <v>2141</v>
      </c>
      <c r="P232" t="str">
        <f t="shared" si="3"/>
        <v>Weekday</v>
      </c>
    </row>
    <row r="233" spans="1:16" x14ac:dyDescent="0.3">
      <c r="A233">
        <v>4319703577</v>
      </c>
      <c r="B233" s="1">
        <v>42460</v>
      </c>
      <c r="C233">
        <v>8144</v>
      </c>
      <c r="D233" t="s">
        <v>161</v>
      </c>
      <c r="E233" t="s">
        <v>161</v>
      </c>
      <c r="F233">
        <v>0</v>
      </c>
      <c r="G233" t="s">
        <v>105</v>
      </c>
      <c r="H233" t="s">
        <v>140</v>
      </c>
      <c r="I233" t="s">
        <v>34</v>
      </c>
      <c r="J233">
        <v>0</v>
      </c>
      <c r="K233">
        <v>4</v>
      </c>
      <c r="L233">
        <v>17</v>
      </c>
      <c r="M233">
        <v>247</v>
      </c>
      <c r="N233">
        <v>1125</v>
      </c>
      <c r="O233">
        <v>2129</v>
      </c>
      <c r="P233" t="str">
        <f t="shared" si="3"/>
        <v>Weekday</v>
      </c>
    </row>
    <row r="234" spans="1:16" x14ac:dyDescent="0.3">
      <c r="A234">
        <v>4319703577</v>
      </c>
      <c r="B234" s="1">
        <v>42461</v>
      </c>
      <c r="C234">
        <v>9343</v>
      </c>
      <c r="D234" t="s">
        <v>378</v>
      </c>
      <c r="E234" t="s">
        <v>378</v>
      </c>
      <c r="F234">
        <v>0</v>
      </c>
      <c r="G234" t="s">
        <v>379</v>
      </c>
      <c r="H234" t="s">
        <v>380</v>
      </c>
      <c r="I234" t="s">
        <v>381</v>
      </c>
      <c r="J234">
        <v>0</v>
      </c>
      <c r="K234">
        <v>14</v>
      </c>
      <c r="L234">
        <v>20</v>
      </c>
      <c r="M234">
        <v>268</v>
      </c>
      <c r="N234">
        <v>654</v>
      </c>
      <c r="O234">
        <v>2216</v>
      </c>
      <c r="P234" t="str">
        <f t="shared" si="3"/>
        <v>Weekday</v>
      </c>
    </row>
    <row r="235" spans="1:16" x14ac:dyDescent="0.3">
      <c r="A235">
        <v>4319703577</v>
      </c>
      <c r="B235" s="1">
        <v>42462</v>
      </c>
      <c r="C235">
        <v>8405</v>
      </c>
      <c r="D235" t="s">
        <v>382</v>
      </c>
      <c r="E235" t="s">
        <v>382</v>
      </c>
      <c r="F235">
        <v>0</v>
      </c>
      <c r="G235" t="s">
        <v>83</v>
      </c>
      <c r="H235" t="s">
        <v>246</v>
      </c>
      <c r="I235" t="s">
        <v>146</v>
      </c>
      <c r="J235">
        <v>0</v>
      </c>
      <c r="K235">
        <v>15</v>
      </c>
      <c r="L235">
        <v>4</v>
      </c>
      <c r="M235">
        <v>257</v>
      </c>
      <c r="N235">
        <v>621</v>
      </c>
      <c r="O235">
        <v>2154</v>
      </c>
      <c r="P235" t="str">
        <f t="shared" si="3"/>
        <v>Weekend</v>
      </c>
    </row>
    <row r="236" spans="1:16" x14ac:dyDescent="0.3">
      <c r="A236">
        <v>4319703577</v>
      </c>
      <c r="B236" s="1">
        <v>42463</v>
      </c>
      <c r="C236">
        <v>8223</v>
      </c>
      <c r="D236" t="s">
        <v>383</v>
      </c>
      <c r="E236" t="s">
        <v>383</v>
      </c>
      <c r="F236">
        <v>0</v>
      </c>
      <c r="G236" t="s">
        <v>247</v>
      </c>
      <c r="H236" t="s">
        <v>332</v>
      </c>
      <c r="I236" t="s">
        <v>271</v>
      </c>
      <c r="J236">
        <v>0</v>
      </c>
      <c r="K236">
        <v>12</v>
      </c>
      <c r="L236">
        <v>37</v>
      </c>
      <c r="M236">
        <v>257</v>
      </c>
      <c r="N236">
        <v>551</v>
      </c>
      <c r="O236">
        <v>2178</v>
      </c>
      <c r="P236" t="str">
        <f t="shared" si="3"/>
        <v>Weekend</v>
      </c>
    </row>
    <row r="237" spans="1:16" x14ac:dyDescent="0.3">
      <c r="A237">
        <v>4319703577</v>
      </c>
      <c r="B237" s="1">
        <v>42464</v>
      </c>
      <c r="C237">
        <v>10067</v>
      </c>
      <c r="D237" t="s">
        <v>384</v>
      </c>
      <c r="E237" t="s">
        <v>384</v>
      </c>
      <c r="F237">
        <v>0</v>
      </c>
      <c r="G237" t="s">
        <v>155</v>
      </c>
      <c r="H237" t="s">
        <v>221</v>
      </c>
      <c r="I237" t="s">
        <v>373</v>
      </c>
      <c r="J237">
        <v>0</v>
      </c>
      <c r="K237">
        <v>5</v>
      </c>
      <c r="L237">
        <v>39</v>
      </c>
      <c r="M237">
        <v>313</v>
      </c>
      <c r="N237">
        <v>578</v>
      </c>
      <c r="O237">
        <v>2308</v>
      </c>
      <c r="P237" t="str">
        <f t="shared" si="3"/>
        <v>Weekday</v>
      </c>
    </row>
    <row r="238" spans="1:16" x14ac:dyDescent="0.3">
      <c r="A238">
        <v>4319703577</v>
      </c>
      <c r="B238" s="1">
        <v>42465</v>
      </c>
      <c r="C238">
        <v>8359</v>
      </c>
      <c r="D238" t="s">
        <v>300</v>
      </c>
      <c r="E238" t="s">
        <v>300</v>
      </c>
      <c r="F238">
        <v>0</v>
      </c>
      <c r="G238" t="s">
        <v>374</v>
      </c>
      <c r="H238" t="s">
        <v>85</v>
      </c>
      <c r="I238" t="s">
        <v>385</v>
      </c>
      <c r="J238">
        <v>0</v>
      </c>
      <c r="K238">
        <v>3</v>
      </c>
      <c r="L238">
        <v>14</v>
      </c>
      <c r="M238">
        <v>311</v>
      </c>
      <c r="N238">
        <v>638</v>
      </c>
      <c r="O238">
        <v>2201</v>
      </c>
      <c r="P238" t="str">
        <f t="shared" si="3"/>
        <v>Weekday</v>
      </c>
    </row>
    <row r="239" spans="1:16" x14ac:dyDescent="0.3">
      <c r="A239">
        <v>4319703577</v>
      </c>
      <c r="B239" s="1">
        <v>42466</v>
      </c>
      <c r="C239">
        <v>10946</v>
      </c>
      <c r="D239" t="s">
        <v>386</v>
      </c>
      <c r="E239" t="s">
        <v>386</v>
      </c>
      <c r="F239">
        <v>0</v>
      </c>
      <c r="G239" t="s">
        <v>369</v>
      </c>
      <c r="H239" t="s">
        <v>358</v>
      </c>
      <c r="I239" t="s">
        <v>189</v>
      </c>
      <c r="J239">
        <v>0</v>
      </c>
      <c r="K239">
        <v>8</v>
      </c>
      <c r="L239">
        <v>51</v>
      </c>
      <c r="M239">
        <v>308</v>
      </c>
      <c r="N239">
        <v>569</v>
      </c>
      <c r="O239">
        <v>2341</v>
      </c>
      <c r="P239" t="str">
        <f t="shared" si="3"/>
        <v>Weekday</v>
      </c>
    </row>
    <row r="240" spans="1:16" x14ac:dyDescent="0.3">
      <c r="A240">
        <v>4319703577</v>
      </c>
      <c r="B240" s="1">
        <v>42467</v>
      </c>
      <c r="C240">
        <v>9130</v>
      </c>
      <c r="D240" t="s">
        <v>387</v>
      </c>
      <c r="E240" t="s">
        <v>387</v>
      </c>
      <c r="F240">
        <v>0</v>
      </c>
      <c r="G240" t="s">
        <v>348</v>
      </c>
      <c r="H240" t="s">
        <v>388</v>
      </c>
      <c r="I240" t="s">
        <v>389</v>
      </c>
      <c r="J240">
        <v>0</v>
      </c>
      <c r="K240">
        <v>7</v>
      </c>
      <c r="L240">
        <v>11</v>
      </c>
      <c r="M240">
        <v>304</v>
      </c>
      <c r="N240">
        <v>668</v>
      </c>
      <c r="O240">
        <v>2236</v>
      </c>
      <c r="P240" t="str">
        <f t="shared" si="3"/>
        <v>Weekday</v>
      </c>
    </row>
    <row r="241" spans="1:16" x14ac:dyDescent="0.3">
      <c r="A241">
        <v>4319703577</v>
      </c>
      <c r="B241" s="1">
        <v>42468</v>
      </c>
      <c r="C241">
        <v>6544</v>
      </c>
      <c r="D241" t="s">
        <v>390</v>
      </c>
      <c r="E241" t="s">
        <v>390</v>
      </c>
      <c r="F241">
        <v>0</v>
      </c>
      <c r="G241" t="s">
        <v>350</v>
      </c>
      <c r="H241" t="s">
        <v>323</v>
      </c>
      <c r="I241" t="s">
        <v>391</v>
      </c>
      <c r="J241">
        <v>0</v>
      </c>
      <c r="K241">
        <v>4</v>
      </c>
      <c r="L241">
        <v>6</v>
      </c>
      <c r="M241">
        <v>276</v>
      </c>
      <c r="N241">
        <v>1132</v>
      </c>
      <c r="O241">
        <v>2069</v>
      </c>
      <c r="P241" t="str">
        <f t="shared" si="3"/>
        <v>Weekday</v>
      </c>
    </row>
    <row r="242" spans="1:16" hidden="1" x14ac:dyDescent="0.3">
      <c r="A242">
        <v>4319703577</v>
      </c>
      <c r="B242" s="1">
        <v>42469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1440</v>
      </c>
      <c r="O242">
        <v>0</v>
      </c>
      <c r="P242" t="str">
        <f t="shared" si="3"/>
        <v>Weekend</v>
      </c>
    </row>
    <row r="243" spans="1:16" hidden="1" x14ac:dyDescent="0.3">
      <c r="A243">
        <v>4388161847</v>
      </c>
      <c r="B243" s="1">
        <v>42458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1440</v>
      </c>
      <c r="O243">
        <v>1878</v>
      </c>
      <c r="P243" t="str">
        <f t="shared" si="3"/>
        <v>Weekday</v>
      </c>
    </row>
    <row r="244" spans="1:16" hidden="1" x14ac:dyDescent="0.3">
      <c r="A244">
        <v>4388161847</v>
      </c>
      <c r="B244" s="1">
        <v>42459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1440</v>
      </c>
      <c r="O244">
        <v>1878</v>
      </c>
      <c r="P244" t="str">
        <f t="shared" si="3"/>
        <v>Weekday</v>
      </c>
    </row>
    <row r="245" spans="1:16" hidden="1" x14ac:dyDescent="0.3">
      <c r="A245">
        <v>4388161847</v>
      </c>
      <c r="B245" s="1">
        <v>42460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1440</v>
      </c>
      <c r="O245">
        <v>1878</v>
      </c>
      <c r="P245" t="str">
        <f t="shared" si="3"/>
        <v>Weekday</v>
      </c>
    </row>
    <row r="246" spans="1:16" hidden="1" x14ac:dyDescent="0.3">
      <c r="A246">
        <v>4388161847</v>
      </c>
      <c r="B246" s="1">
        <v>42461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1440</v>
      </c>
      <c r="O246">
        <v>1878</v>
      </c>
      <c r="P246" t="str">
        <f t="shared" si="3"/>
        <v>Weekday</v>
      </c>
    </row>
    <row r="247" spans="1:16" hidden="1" x14ac:dyDescent="0.3">
      <c r="A247">
        <v>4388161847</v>
      </c>
      <c r="B247" s="1">
        <v>42462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1440</v>
      </c>
      <c r="O247">
        <v>1878</v>
      </c>
      <c r="P247" t="str">
        <f t="shared" si="3"/>
        <v>Weekend</v>
      </c>
    </row>
    <row r="248" spans="1:16" hidden="1" x14ac:dyDescent="0.3">
      <c r="A248">
        <v>4388161847</v>
      </c>
      <c r="B248" s="1">
        <v>42463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1440</v>
      </c>
      <c r="O248">
        <v>1878</v>
      </c>
      <c r="P248" t="str">
        <f t="shared" si="3"/>
        <v>Weekend</v>
      </c>
    </row>
    <row r="249" spans="1:16" hidden="1" x14ac:dyDescent="0.3">
      <c r="A249">
        <v>4388161847</v>
      </c>
      <c r="B249" s="1">
        <v>42464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1440</v>
      </c>
      <c r="O249">
        <v>1878</v>
      </c>
      <c r="P249" t="str">
        <f t="shared" si="3"/>
        <v>Weekday</v>
      </c>
    </row>
    <row r="250" spans="1:16" hidden="1" x14ac:dyDescent="0.3">
      <c r="A250">
        <v>4388161847</v>
      </c>
      <c r="B250" s="1">
        <v>42465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994</v>
      </c>
      <c r="O250">
        <v>1296</v>
      </c>
      <c r="P250" t="str">
        <f t="shared" si="3"/>
        <v>Weekday</v>
      </c>
    </row>
    <row r="251" spans="1:16" x14ac:dyDescent="0.3">
      <c r="A251">
        <v>4445114986</v>
      </c>
      <c r="B251" s="1">
        <v>42458</v>
      </c>
      <c r="C251">
        <v>2303</v>
      </c>
      <c r="D251" t="s">
        <v>154</v>
      </c>
      <c r="E251" t="s">
        <v>154</v>
      </c>
      <c r="F251">
        <v>0</v>
      </c>
      <c r="G251">
        <v>0</v>
      </c>
      <c r="H251">
        <v>0</v>
      </c>
      <c r="I251" t="s">
        <v>154</v>
      </c>
      <c r="J251">
        <v>0</v>
      </c>
      <c r="K251">
        <v>0</v>
      </c>
      <c r="L251">
        <v>0</v>
      </c>
      <c r="M251">
        <v>155</v>
      </c>
      <c r="N251">
        <v>807</v>
      </c>
      <c r="O251">
        <v>2010</v>
      </c>
      <c r="P251" t="str">
        <f t="shared" si="3"/>
        <v>Weekday</v>
      </c>
    </row>
    <row r="252" spans="1:16" x14ac:dyDescent="0.3">
      <c r="A252">
        <v>4445114986</v>
      </c>
      <c r="B252" s="1">
        <v>42459</v>
      </c>
      <c r="C252">
        <v>2600</v>
      </c>
      <c r="D252" t="s">
        <v>306</v>
      </c>
      <c r="E252" t="s">
        <v>306</v>
      </c>
      <c r="F252">
        <v>0</v>
      </c>
      <c r="G252">
        <v>0</v>
      </c>
      <c r="H252">
        <v>0</v>
      </c>
      <c r="I252" t="s">
        <v>306</v>
      </c>
      <c r="J252">
        <v>0</v>
      </c>
      <c r="K252">
        <v>0</v>
      </c>
      <c r="L252">
        <v>0</v>
      </c>
      <c r="M252">
        <v>163</v>
      </c>
      <c r="N252">
        <v>1277</v>
      </c>
      <c r="O252">
        <v>2032</v>
      </c>
      <c r="P252" t="str">
        <f t="shared" si="3"/>
        <v>Weekday</v>
      </c>
    </row>
    <row r="253" spans="1:16" x14ac:dyDescent="0.3">
      <c r="A253">
        <v>4445114986</v>
      </c>
      <c r="B253" s="1">
        <v>42460</v>
      </c>
      <c r="C253">
        <v>4804</v>
      </c>
      <c r="D253" t="s">
        <v>264</v>
      </c>
      <c r="E253" t="s">
        <v>264</v>
      </c>
      <c r="F253">
        <v>0</v>
      </c>
      <c r="G253">
        <v>0</v>
      </c>
      <c r="H253">
        <v>0</v>
      </c>
      <c r="I253" t="s">
        <v>264</v>
      </c>
      <c r="J253">
        <v>0</v>
      </c>
      <c r="K253">
        <v>0</v>
      </c>
      <c r="L253">
        <v>0</v>
      </c>
      <c r="M253">
        <v>238</v>
      </c>
      <c r="N253">
        <v>786</v>
      </c>
      <c r="O253">
        <v>2227</v>
      </c>
      <c r="P253" t="str">
        <f t="shared" si="3"/>
        <v>Weekday</v>
      </c>
    </row>
    <row r="254" spans="1:16" x14ac:dyDescent="0.3">
      <c r="A254">
        <v>4445114986</v>
      </c>
      <c r="B254" s="1">
        <v>42461</v>
      </c>
      <c r="C254">
        <v>3271</v>
      </c>
      <c r="D254" t="s">
        <v>392</v>
      </c>
      <c r="E254" t="s">
        <v>392</v>
      </c>
      <c r="F254">
        <v>0</v>
      </c>
      <c r="G254">
        <v>0</v>
      </c>
      <c r="H254">
        <v>0</v>
      </c>
      <c r="I254" t="s">
        <v>392</v>
      </c>
      <c r="J254">
        <v>0</v>
      </c>
      <c r="K254">
        <v>0</v>
      </c>
      <c r="L254">
        <v>0</v>
      </c>
      <c r="M254">
        <v>205</v>
      </c>
      <c r="N254">
        <v>898</v>
      </c>
      <c r="O254">
        <v>2133</v>
      </c>
      <c r="P254" t="str">
        <f t="shared" si="3"/>
        <v>Weekday</v>
      </c>
    </row>
    <row r="255" spans="1:16" x14ac:dyDescent="0.3">
      <c r="A255">
        <v>4445114986</v>
      </c>
      <c r="B255" s="1">
        <v>42462</v>
      </c>
      <c r="C255">
        <v>5406</v>
      </c>
      <c r="D255" t="s">
        <v>393</v>
      </c>
      <c r="E255" t="s">
        <v>393</v>
      </c>
      <c r="F255">
        <v>0</v>
      </c>
      <c r="G255">
        <v>0</v>
      </c>
      <c r="H255">
        <v>0</v>
      </c>
      <c r="I255" t="s">
        <v>394</v>
      </c>
      <c r="J255">
        <v>0</v>
      </c>
      <c r="K255">
        <v>0</v>
      </c>
      <c r="L255">
        <v>0</v>
      </c>
      <c r="M255">
        <v>273</v>
      </c>
      <c r="N255">
        <v>672</v>
      </c>
      <c r="O255">
        <v>2317</v>
      </c>
      <c r="P255" t="str">
        <f t="shared" si="3"/>
        <v>Weekend</v>
      </c>
    </row>
    <row r="256" spans="1:16" x14ac:dyDescent="0.3">
      <c r="A256">
        <v>4445114986</v>
      </c>
      <c r="B256" s="1">
        <v>42463</v>
      </c>
      <c r="C256">
        <v>3146</v>
      </c>
      <c r="D256" t="s">
        <v>395</v>
      </c>
      <c r="E256" t="s">
        <v>395</v>
      </c>
      <c r="F256">
        <v>0</v>
      </c>
      <c r="G256">
        <v>0</v>
      </c>
      <c r="H256">
        <v>0</v>
      </c>
      <c r="I256" t="s">
        <v>395</v>
      </c>
      <c r="J256">
        <v>0</v>
      </c>
      <c r="K256">
        <v>0</v>
      </c>
      <c r="L256">
        <v>0</v>
      </c>
      <c r="M256">
        <v>171</v>
      </c>
      <c r="N256">
        <v>1269</v>
      </c>
      <c r="O256">
        <v>2058</v>
      </c>
      <c r="P256" t="str">
        <f t="shared" si="3"/>
        <v>Weekend</v>
      </c>
    </row>
    <row r="257" spans="1:16" x14ac:dyDescent="0.3">
      <c r="A257">
        <v>4445114986</v>
      </c>
      <c r="B257" s="1">
        <v>42464</v>
      </c>
      <c r="C257">
        <v>2422</v>
      </c>
      <c r="D257" t="s">
        <v>153</v>
      </c>
      <c r="E257" t="s">
        <v>153</v>
      </c>
      <c r="F257">
        <v>0</v>
      </c>
      <c r="G257">
        <v>0</v>
      </c>
      <c r="H257">
        <v>0</v>
      </c>
      <c r="I257" t="s">
        <v>153</v>
      </c>
      <c r="J257">
        <v>0</v>
      </c>
      <c r="K257">
        <v>0</v>
      </c>
      <c r="L257">
        <v>0</v>
      </c>
      <c r="M257">
        <v>110</v>
      </c>
      <c r="N257">
        <v>1330</v>
      </c>
      <c r="O257">
        <v>1935</v>
      </c>
      <c r="P257" t="str">
        <f t="shared" si="3"/>
        <v>Weekday</v>
      </c>
    </row>
    <row r="258" spans="1:16" x14ac:dyDescent="0.3">
      <c r="A258">
        <v>4445114986</v>
      </c>
      <c r="B258" s="1">
        <v>42465</v>
      </c>
      <c r="C258">
        <v>4239</v>
      </c>
      <c r="D258" t="s">
        <v>396</v>
      </c>
      <c r="E258" t="s">
        <v>396</v>
      </c>
      <c r="F258">
        <v>0</v>
      </c>
      <c r="G258" t="s">
        <v>202</v>
      </c>
      <c r="H258" t="s">
        <v>357</v>
      </c>
      <c r="I258" t="s">
        <v>397</v>
      </c>
      <c r="J258">
        <v>0</v>
      </c>
      <c r="K258">
        <v>1</v>
      </c>
      <c r="L258">
        <v>6</v>
      </c>
      <c r="M258">
        <v>235</v>
      </c>
      <c r="N258">
        <v>702</v>
      </c>
      <c r="O258">
        <v>2217</v>
      </c>
      <c r="P258" t="str">
        <f t="shared" si="3"/>
        <v>Weekday</v>
      </c>
    </row>
    <row r="259" spans="1:16" x14ac:dyDescent="0.3">
      <c r="A259">
        <v>4445114986</v>
      </c>
      <c r="B259" s="1">
        <v>42466</v>
      </c>
      <c r="C259">
        <v>6911</v>
      </c>
      <c r="D259" t="s">
        <v>327</v>
      </c>
      <c r="E259" t="s">
        <v>327</v>
      </c>
      <c r="F259">
        <v>0</v>
      </c>
      <c r="G259" t="s">
        <v>101</v>
      </c>
      <c r="H259" t="s">
        <v>398</v>
      </c>
      <c r="I259" t="s">
        <v>36</v>
      </c>
      <c r="J259">
        <v>0</v>
      </c>
      <c r="K259">
        <v>28</v>
      </c>
      <c r="L259">
        <v>2</v>
      </c>
      <c r="M259">
        <v>215</v>
      </c>
      <c r="N259">
        <v>745</v>
      </c>
      <c r="O259">
        <v>2374</v>
      </c>
      <c r="P259" t="str">
        <f t="shared" ref="P259:P322" si="4">IF(OR(WEEKDAY(B259,2)=6, WEEKDAY(B259,2)=7),"Weekend","Weekday")</f>
        <v>Weekday</v>
      </c>
    </row>
    <row r="260" spans="1:16" x14ac:dyDescent="0.3">
      <c r="A260">
        <v>4445114986</v>
      </c>
      <c r="B260" s="1">
        <v>42467</v>
      </c>
      <c r="C260">
        <v>6667</v>
      </c>
      <c r="D260" t="s">
        <v>34</v>
      </c>
      <c r="E260" t="s">
        <v>34</v>
      </c>
      <c r="F260">
        <v>0</v>
      </c>
      <c r="G260" t="s">
        <v>399</v>
      </c>
      <c r="H260" t="s">
        <v>333</v>
      </c>
      <c r="I260" t="s">
        <v>400</v>
      </c>
      <c r="J260">
        <v>0</v>
      </c>
      <c r="K260">
        <v>24</v>
      </c>
      <c r="L260">
        <v>1</v>
      </c>
      <c r="M260">
        <v>208</v>
      </c>
      <c r="N260">
        <v>939</v>
      </c>
      <c r="O260">
        <v>2335</v>
      </c>
      <c r="P260" t="str">
        <f t="shared" si="4"/>
        <v>Weekday</v>
      </c>
    </row>
    <row r="261" spans="1:16" x14ac:dyDescent="0.3">
      <c r="A261">
        <v>4445114986</v>
      </c>
      <c r="B261" s="1">
        <v>42468</v>
      </c>
      <c r="C261">
        <v>5543</v>
      </c>
      <c r="D261" t="s">
        <v>136</v>
      </c>
      <c r="E261" t="s">
        <v>136</v>
      </c>
      <c r="F261">
        <v>0</v>
      </c>
      <c r="G261">
        <v>0</v>
      </c>
      <c r="H261">
        <v>0</v>
      </c>
      <c r="I261" t="s">
        <v>136</v>
      </c>
      <c r="J261">
        <v>0</v>
      </c>
      <c r="K261">
        <v>0</v>
      </c>
      <c r="L261">
        <v>0</v>
      </c>
      <c r="M261">
        <v>266</v>
      </c>
      <c r="N261">
        <v>941</v>
      </c>
      <c r="O261">
        <v>2303</v>
      </c>
      <c r="P261" t="str">
        <f t="shared" si="4"/>
        <v>Weekday</v>
      </c>
    </row>
    <row r="262" spans="1:16" x14ac:dyDescent="0.3">
      <c r="A262">
        <v>4445114986</v>
      </c>
      <c r="B262" s="1">
        <v>42469</v>
      </c>
      <c r="C262">
        <v>4195</v>
      </c>
      <c r="D262" t="s">
        <v>133</v>
      </c>
      <c r="E262" t="s">
        <v>133</v>
      </c>
      <c r="F262">
        <v>0</v>
      </c>
      <c r="G262">
        <v>0</v>
      </c>
      <c r="H262">
        <v>0</v>
      </c>
      <c r="I262" t="s">
        <v>133</v>
      </c>
      <c r="J262">
        <v>0</v>
      </c>
      <c r="K262">
        <v>0</v>
      </c>
      <c r="L262">
        <v>0</v>
      </c>
      <c r="M262">
        <v>239</v>
      </c>
      <c r="N262">
        <v>758</v>
      </c>
      <c r="O262">
        <v>2210</v>
      </c>
      <c r="P262" t="str">
        <f t="shared" si="4"/>
        <v>Weekend</v>
      </c>
    </row>
    <row r="263" spans="1:16" x14ac:dyDescent="0.3">
      <c r="A263">
        <v>4445114986</v>
      </c>
      <c r="B263" s="1">
        <v>42470</v>
      </c>
      <c r="C263">
        <v>6625</v>
      </c>
      <c r="D263" t="s">
        <v>67</v>
      </c>
      <c r="E263" t="s">
        <v>67</v>
      </c>
      <c r="F263">
        <v>0</v>
      </c>
      <c r="G263">
        <v>0</v>
      </c>
      <c r="H263">
        <v>0</v>
      </c>
      <c r="I263" t="s">
        <v>67</v>
      </c>
      <c r="J263">
        <v>0</v>
      </c>
      <c r="K263">
        <v>0</v>
      </c>
      <c r="L263">
        <v>0</v>
      </c>
      <c r="M263">
        <v>316</v>
      </c>
      <c r="N263">
        <v>755</v>
      </c>
      <c r="O263">
        <v>2424</v>
      </c>
      <c r="P263" t="str">
        <f t="shared" si="4"/>
        <v>Weekend</v>
      </c>
    </row>
    <row r="264" spans="1:16" x14ac:dyDescent="0.3">
      <c r="A264">
        <v>4445114986</v>
      </c>
      <c r="B264" s="1">
        <v>42471</v>
      </c>
      <c r="C264">
        <v>5986</v>
      </c>
      <c r="D264" t="s">
        <v>401</v>
      </c>
      <c r="E264" t="s">
        <v>401</v>
      </c>
      <c r="F264">
        <v>0</v>
      </c>
      <c r="G264" t="s">
        <v>402</v>
      </c>
      <c r="H264" t="s">
        <v>374</v>
      </c>
      <c r="I264" t="s">
        <v>402</v>
      </c>
      <c r="J264">
        <v>0</v>
      </c>
      <c r="K264">
        <v>23</v>
      </c>
      <c r="L264">
        <v>5</v>
      </c>
      <c r="M264">
        <v>195</v>
      </c>
      <c r="N264">
        <v>789</v>
      </c>
      <c r="O264">
        <v>2297</v>
      </c>
      <c r="P264" t="str">
        <f t="shared" si="4"/>
        <v>Weekday</v>
      </c>
    </row>
    <row r="265" spans="1:16" x14ac:dyDescent="0.3">
      <c r="A265">
        <v>4445114986</v>
      </c>
      <c r="B265" s="1">
        <v>42472</v>
      </c>
      <c r="C265">
        <v>278</v>
      </c>
      <c r="D265" t="s">
        <v>246</v>
      </c>
      <c r="E265" t="s">
        <v>246</v>
      </c>
      <c r="F265">
        <v>0</v>
      </c>
      <c r="G265">
        <v>0</v>
      </c>
      <c r="H265">
        <v>0</v>
      </c>
      <c r="I265" t="s">
        <v>246</v>
      </c>
      <c r="J265">
        <v>0</v>
      </c>
      <c r="K265">
        <v>0</v>
      </c>
      <c r="L265">
        <v>0</v>
      </c>
      <c r="M265">
        <v>20</v>
      </c>
      <c r="N265">
        <v>253</v>
      </c>
      <c r="O265">
        <v>745</v>
      </c>
      <c r="P265" t="str">
        <f t="shared" si="4"/>
        <v>Weekday</v>
      </c>
    </row>
    <row r="266" spans="1:16" x14ac:dyDescent="0.3">
      <c r="A266">
        <v>4558609924</v>
      </c>
      <c r="B266" s="1">
        <v>42461</v>
      </c>
      <c r="C266">
        <v>5336</v>
      </c>
      <c r="D266" t="s">
        <v>403</v>
      </c>
      <c r="E266" t="s">
        <v>403</v>
      </c>
      <c r="F266">
        <v>0</v>
      </c>
      <c r="G266">
        <v>0</v>
      </c>
      <c r="H266">
        <v>0</v>
      </c>
      <c r="I266" t="s">
        <v>403</v>
      </c>
      <c r="J266">
        <v>0</v>
      </c>
      <c r="K266">
        <v>0</v>
      </c>
      <c r="L266">
        <v>0</v>
      </c>
      <c r="M266">
        <v>258</v>
      </c>
      <c r="N266">
        <v>1182</v>
      </c>
      <c r="O266">
        <v>1902</v>
      </c>
      <c r="P266" t="str">
        <f t="shared" si="4"/>
        <v>Weekday</v>
      </c>
    </row>
    <row r="267" spans="1:16" x14ac:dyDescent="0.3">
      <c r="A267">
        <v>4558609924</v>
      </c>
      <c r="B267" s="1">
        <v>42462</v>
      </c>
      <c r="C267">
        <v>3183</v>
      </c>
      <c r="D267" t="s">
        <v>404</v>
      </c>
      <c r="E267" t="s">
        <v>404</v>
      </c>
      <c r="F267">
        <v>0</v>
      </c>
      <c r="G267">
        <v>0</v>
      </c>
      <c r="H267">
        <v>0</v>
      </c>
      <c r="I267" t="s">
        <v>404</v>
      </c>
      <c r="J267">
        <v>0</v>
      </c>
      <c r="K267">
        <v>0</v>
      </c>
      <c r="L267">
        <v>0</v>
      </c>
      <c r="M267">
        <v>173</v>
      </c>
      <c r="N267">
        <v>1180</v>
      </c>
      <c r="O267">
        <v>1680</v>
      </c>
      <c r="P267" t="str">
        <f t="shared" si="4"/>
        <v>Weekend</v>
      </c>
    </row>
    <row r="268" spans="1:16" x14ac:dyDescent="0.3">
      <c r="A268">
        <v>4558609924</v>
      </c>
      <c r="B268" s="1">
        <v>42463</v>
      </c>
      <c r="C268">
        <v>6176</v>
      </c>
      <c r="D268" t="s">
        <v>405</v>
      </c>
      <c r="E268" t="s">
        <v>405</v>
      </c>
      <c r="F268">
        <v>0</v>
      </c>
      <c r="G268" t="s">
        <v>311</v>
      </c>
      <c r="H268" t="s">
        <v>323</v>
      </c>
      <c r="I268" s="2">
        <v>27454</v>
      </c>
      <c r="J268">
        <v>0</v>
      </c>
      <c r="K268">
        <v>1</v>
      </c>
      <c r="L268">
        <v>7</v>
      </c>
      <c r="M268">
        <v>269</v>
      </c>
      <c r="N268">
        <v>886</v>
      </c>
      <c r="O268">
        <v>1901</v>
      </c>
      <c r="P268" t="str">
        <f t="shared" si="4"/>
        <v>Weekend</v>
      </c>
    </row>
    <row r="269" spans="1:16" x14ac:dyDescent="0.3">
      <c r="A269">
        <v>4558609924</v>
      </c>
      <c r="B269" s="1">
        <v>42464</v>
      </c>
      <c r="C269">
        <v>8205</v>
      </c>
      <c r="D269" t="s">
        <v>406</v>
      </c>
      <c r="E269" t="s">
        <v>406</v>
      </c>
      <c r="F269">
        <v>0</v>
      </c>
      <c r="G269">
        <v>0</v>
      </c>
      <c r="H269">
        <v>0</v>
      </c>
      <c r="I269" t="s">
        <v>406</v>
      </c>
      <c r="J269">
        <v>0</v>
      </c>
      <c r="K269">
        <v>0</v>
      </c>
      <c r="L269">
        <v>0</v>
      </c>
      <c r="M269">
        <v>367</v>
      </c>
      <c r="N269">
        <v>1073</v>
      </c>
      <c r="O269">
        <v>2078</v>
      </c>
      <c r="P269" t="str">
        <f t="shared" si="4"/>
        <v>Weekday</v>
      </c>
    </row>
    <row r="270" spans="1:16" x14ac:dyDescent="0.3">
      <c r="A270">
        <v>4558609924</v>
      </c>
      <c r="B270" s="1">
        <v>42465</v>
      </c>
      <c r="C270">
        <v>6799</v>
      </c>
      <c r="D270" t="s">
        <v>407</v>
      </c>
      <c r="E270" t="s">
        <v>407</v>
      </c>
      <c r="F270">
        <v>0</v>
      </c>
      <c r="G270" t="s">
        <v>408</v>
      </c>
      <c r="H270" t="s">
        <v>409</v>
      </c>
      <c r="I270" t="s">
        <v>62</v>
      </c>
      <c r="J270">
        <v>0</v>
      </c>
      <c r="K270">
        <v>24</v>
      </c>
      <c r="L270">
        <v>14</v>
      </c>
      <c r="M270">
        <v>185</v>
      </c>
      <c r="N270">
        <v>1217</v>
      </c>
      <c r="O270">
        <v>1876</v>
      </c>
      <c r="P270" t="str">
        <f t="shared" si="4"/>
        <v>Weekday</v>
      </c>
    </row>
    <row r="271" spans="1:16" x14ac:dyDescent="0.3">
      <c r="A271">
        <v>4558609924</v>
      </c>
      <c r="B271" s="1">
        <v>42466</v>
      </c>
      <c r="C271">
        <v>5668</v>
      </c>
      <c r="D271" s="2">
        <v>27454</v>
      </c>
      <c r="E271" s="2">
        <v>27454</v>
      </c>
      <c r="F271">
        <v>0</v>
      </c>
      <c r="G271">
        <v>0</v>
      </c>
      <c r="H271">
        <v>0</v>
      </c>
      <c r="I271" s="2">
        <v>27454</v>
      </c>
      <c r="J271">
        <v>0</v>
      </c>
      <c r="K271">
        <v>0</v>
      </c>
      <c r="L271">
        <v>0</v>
      </c>
      <c r="M271">
        <v>259</v>
      </c>
      <c r="N271">
        <v>1181</v>
      </c>
      <c r="O271">
        <v>1853</v>
      </c>
      <c r="P271" t="str">
        <f t="shared" si="4"/>
        <v>Weekday</v>
      </c>
    </row>
    <row r="272" spans="1:16" x14ac:dyDescent="0.3">
      <c r="A272">
        <v>4558609924</v>
      </c>
      <c r="B272" s="1">
        <v>42467</v>
      </c>
      <c r="C272">
        <v>7998</v>
      </c>
      <c r="D272" t="s">
        <v>250</v>
      </c>
      <c r="E272" t="s">
        <v>250</v>
      </c>
      <c r="F272">
        <v>0</v>
      </c>
      <c r="G272" t="s">
        <v>37</v>
      </c>
      <c r="H272" t="s">
        <v>105</v>
      </c>
      <c r="I272" t="s">
        <v>139</v>
      </c>
      <c r="J272">
        <v>0</v>
      </c>
      <c r="K272">
        <v>27</v>
      </c>
      <c r="L272">
        <v>12</v>
      </c>
      <c r="M272">
        <v>296</v>
      </c>
      <c r="N272">
        <v>1105</v>
      </c>
      <c r="O272">
        <v>2235</v>
      </c>
      <c r="P272" t="str">
        <f t="shared" si="4"/>
        <v>Weekday</v>
      </c>
    </row>
    <row r="273" spans="1:16" x14ac:dyDescent="0.3">
      <c r="A273">
        <v>4558609924</v>
      </c>
      <c r="B273" s="1">
        <v>42468</v>
      </c>
      <c r="C273">
        <v>4195</v>
      </c>
      <c r="D273" t="s">
        <v>410</v>
      </c>
      <c r="E273" t="s">
        <v>410</v>
      </c>
      <c r="F273">
        <v>0</v>
      </c>
      <c r="G273">
        <v>0</v>
      </c>
      <c r="H273">
        <v>0</v>
      </c>
      <c r="I273" t="s">
        <v>410</v>
      </c>
      <c r="J273">
        <v>0</v>
      </c>
      <c r="K273">
        <v>0</v>
      </c>
      <c r="L273">
        <v>0</v>
      </c>
      <c r="M273">
        <v>241</v>
      </c>
      <c r="N273">
        <v>1199</v>
      </c>
      <c r="O273">
        <v>1778</v>
      </c>
      <c r="P273" t="str">
        <f t="shared" si="4"/>
        <v>Weekday</v>
      </c>
    </row>
    <row r="274" spans="1:16" x14ac:dyDescent="0.3">
      <c r="A274">
        <v>4558609924</v>
      </c>
      <c r="B274" s="1">
        <v>42469</v>
      </c>
      <c r="C274">
        <v>5512</v>
      </c>
      <c r="D274" t="s">
        <v>46</v>
      </c>
      <c r="E274" t="s">
        <v>46</v>
      </c>
      <c r="F274">
        <v>0</v>
      </c>
      <c r="G274">
        <v>0</v>
      </c>
      <c r="H274">
        <v>0</v>
      </c>
      <c r="I274" t="s">
        <v>46</v>
      </c>
      <c r="J274">
        <v>0</v>
      </c>
      <c r="K274">
        <v>0</v>
      </c>
      <c r="L274">
        <v>0</v>
      </c>
      <c r="M274">
        <v>276</v>
      </c>
      <c r="N274">
        <v>1164</v>
      </c>
      <c r="O274">
        <v>1882</v>
      </c>
      <c r="P274" t="str">
        <f t="shared" si="4"/>
        <v>Weekend</v>
      </c>
    </row>
    <row r="275" spans="1:16" x14ac:dyDescent="0.3">
      <c r="A275">
        <v>4558609924</v>
      </c>
      <c r="B275" s="1">
        <v>42470</v>
      </c>
      <c r="C275">
        <v>6263</v>
      </c>
      <c r="D275" t="s">
        <v>194</v>
      </c>
      <c r="E275" t="s">
        <v>194</v>
      </c>
      <c r="F275">
        <v>0</v>
      </c>
      <c r="G275">
        <v>0</v>
      </c>
      <c r="H275">
        <v>0</v>
      </c>
      <c r="I275" t="s">
        <v>401</v>
      </c>
      <c r="J275">
        <v>0</v>
      </c>
      <c r="K275">
        <v>0</v>
      </c>
      <c r="L275">
        <v>0</v>
      </c>
      <c r="M275">
        <v>290</v>
      </c>
      <c r="N275">
        <v>1150</v>
      </c>
      <c r="O275">
        <v>1906</v>
      </c>
      <c r="P275" t="str">
        <f t="shared" si="4"/>
        <v>Weekend</v>
      </c>
    </row>
    <row r="276" spans="1:16" x14ac:dyDescent="0.3">
      <c r="A276">
        <v>4558609924</v>
      </c>
      <c r="B276" s="1">
        <v>42471</v>
      </c>
      <c r="C276">
        <v>8828</v>
      </c>
      <c r="D276" t="s">
        <v>411</v>
      </c>
      <c r="E276" t="s">
        <v>411</v>
      </c>
      <c r="F276">
        <v>0</v>
      </c>
      <c r="G276">
        <v>0</v>
      </c>
      <c r="H276">
        <v>0</v>
      </c>
      <c r="I276" t="s">
        <v>411</v>
      </c>
      <c r="J276">
        <v>0</v>
      </c>
      <c r="K276">
        <v>0</v>
      </c>
      <c r="L276">
        <v>0</v>
      </c>
      <c r="M276">
        <v>308</v>
      </c>
      <c r="N276">
        <v>1132</v>
      </c>
      <c r="O276">
        <v>2149</v>
      </c>
      <c r="P276" t="str">
        <f t="shared" si="4"/>
        <v>Weekday</v>
      </c>
    </row>
    <row r="277" spans="1:16" x14ac:dyDescent="0.3">
      <c r="A277">
        <v>4558609924</v>
      </c>
      <c r="B277" s="1">
        <v>42472</v>
      </c>
      <c r="C277">
        <v>1260</v>
      </c>
      <c r="D277" t="s">
        <v>45</v>
      </c>
      <c r="E277" t="s">
        <v>45</v>
      </c>
      <c r="F277">
        <v>0</v>
      </c>
      <c r="G277">
        <v>0</v>
      </c>
      <c r="H277">
        <v>0</v>
      </c>
      <c r="I277" t="s">
        <v>412</v>
      </c>
      <c r="J277">
        <v>0</v>
      </c>
      <c r="K277">
        <v>0</v>
      </c>
      <c r="L277">
        <v>0</v>
      </c>
      <c r="M277">
        <v>76</v>
      </c>
      <c r="N277">
        <v>555</v>
      </c>
      <c r="O277">
        <v>722</v>
      </c>
      <c r="P277" t="str">
        <f t="shared" si="4"/>
        <v>Weekday</v>
      </c>
    </row>
    <row r="278" spans="1:16" x14ac:dyDescent="0.3">
      <c r="A278">
        <v>4702921684</v>
      </c>
      <c r="B278" s="1">
        <v>42458</v>
      </c>
      <c r="C278">
        <v>6506</v>
      </c>
      <c r="D278" t="s">
        <v>413</v>
      </c>
      <c r="E278" t="s">
        <v>413</v>
      </c>
      <c r="F278">
        <v>0</v>
      </c>
      <c r="G278" t="s">
        <v>241</v>
      </c>
      <c r="H278" t="s">
        <v>90</v>
      </c>
      <c r="I278" t="s">
        <v>414</v>
      </c>
      <c r="J278">
        <v>0</v>
      </c>
      <c r="K278">
        <v>4</v>
      </c>
      <c r="L278">
        <v>5</v>
      </c>
      <c r="M278">
        <v>241</v>
      </c>
      <c r="N278">
        <v>760</v>
      </c>
      <c r="O278">
        <v>2886</v>
      </c>
      <c r="P278" t="str">
        <f t="shared" si="4"/>
        <v>Weekday</v>
      </c>
    </row>
    <row r="279" spans="1:16" x14ac:dyDescent="0.3">
      <c r="A279">
        <v>4702921684</v>
      </c>
      <c r="B279" s="1">
        <v>42459</v>
      </c>
      <c r="C279">
        <v>7583</v>
      </c>
      <c r="D279" t="s">
        <v>387</v>
      </c>
      <c r="E279" t="s">
        <v>387</v>
      </c>
      <c r="F279">
        <v>0</v>
      </c>
      <c r="G279" t="s">
        <v>105</v>
      </c>
      <c r="H279" t="s">
        <v>362</v>
      </c>
      <c r="I279" t="s">
        <v>415</v>
      </c>
      <c r="J279">
        <v>0</v>
      </c>
      <c r="K279">
        <v>3</v>
      </c>
      <c r="L279">
        <v>13</v>
      </c>
      <c r="M279">
        <v>227</v>
      </c>
      <c r="N279">
        <v>742</v>
      </c>
      <c r="O279">
        <v>2915</v>
      </c>
      <c r="P279" t="str">
        <f t="shared" si="4"/>
        <v>Weekday</v>
      </c>
    </row>
    <row r="280" spans="1:16" x14ac:dyDescent="0.3">
      <c r="A280">
        <v>4702921684</v>
      </c>
      <c r="B280" s="1">
        <v>42460</v>
      </c>
      <c r="C280">
        <v>6963</v>
      </c>
      <c r="D280" t="s">
        <v>252</v>
      </c>
      <c r="E280" t="s">
        <v>252</v>
      </c>
      <c r="F280">
        <v>0</v>
      </c>
      <c r="G280">
        <v>0</v>
      </c>
      <c r="H280">
        <v>0</v>
      </c>
      <c r="I280" t="s">
        <v>252</v>
      </c>
      <c r="J280">
        <v>0</v>
      </c>
      <c r="K280">
        <v>0</v>
      </c>
      <c r="L280">
        <v>0</v>
      </c>
      <c r="M280">
        <v>256</v>
      </c>
      <c r="N280">
        <v>759</v>
      </c>
      <c r="O280">
        <v>2895</v>
      </c>
      <c r="P280" t="str">
        <f t="shared" si="4"/>
        <v>Weekday</v>
      </c>
    </row>
    <row r="281" spans="1:16" x14ac:dyDescent="0.3">
      <c r="A281">
        <v>4702921684</v>
      </c>
      <c r="B281" s="1">
        <v>42461</v>
      </c>
      <c r="C281">
        <v>7165</v>
      </c>
      <c r="D281" t="s">
        <v>416</v>
      </c>
      <c r="E281" t="s">
        <v>416</v>
      </c>
      <c r="F281">
        <v>0</v>
      </c>
      <c r="G281">
        <v>0</v>
      </c>
      <c r="H281" t="s">
        <v>141</v>
      </c>
      <c r="I281" t="s">
        <v>417</v>
      </c>
      <c r="J281">
        <v>0</v>
      </c>
      <c r="K281">
        <v>0</v>
      </c>
      <c r="L281">
        <v>9</v>
      </c>
      <c r="M281">
        <v>248</v>
      </c>
      <c r="N281">
        <v>708</v>
      </c>
      <c r="O281">
        <v>2923</v>
      </c>
      <c r="P281" t="str">
        <f t="shared" si="4"/>
        <v>Weekday</v>
      </c>
    </row>
    <row r="282" spans="1:16" x14ac:dyDescent="0.3">
      <c r="A282">
        <v>4702921684</v>
      </c>
      <c r="B282" s="1">
        <v>42462</v>
      </c>
      <c r="C282">
        <v>10328</v>
      </c>
      <c r="D282" t="s">
        <v>418</v>
      </c>
      <c r="E282" t="s">
        <v>418</v>
      </c>
      <c r="F282">
        <v>0</v>
      </c>
      <c r="G282">
        <v>0</v>
      </c>
      <c r="H282" t="s">
        <v>157</v>
      </c>
      <c r="I282" t="s">
        <v>20</v>
      </c>
      <c r="J282">
        <v>0</v>
      </c>
      <c r="K282">
        <v>0</v>
      </c>
      <c r="L282">
        <v>32</v>
      </c>
      <c r="M282">
        <v>367</v>
      </c>
      <c r="N282">
        <v>475</v>
      </c>
      <c r="O282">
        <v>3323</v>
      </c>
      <c r="P282" t="str">
        <f t="shared" si="4"/>
        <v>Weekend</v>
      </c>
    </row>
    <row r="283" spans="1:16" x14ac:dyDescent="0.3">
      <c r="A283">
        <v>4702921684</v>
      </c>
      <c r="B283" s="1">
        <v>42463</v>
      </c>
      <c r="C283">
        <v>12116</v>
      </c>
      <c r="D283" t="s">
        <v>419</v>
      </c>
      <c r="E283" t="s">
        <v>419</v>
      </c>
      <c r="F283">
        <v>0</v>
      </c>
      <c r="G283" t="s">
        <v>105</v>
      </c>
      <c r="H283" t="s">
        <v>420</v>
      </c>
      <c r="I283" t="s">
        <v>421</v>
      </c>
      <c r="J283">
        <v>0</v>
      </c>
      <c r="K283">
        <v>3</v>
      </c>
      <c r="L283">
        <v>57</v>
      </c>
      <c r="M283">
        <v>323</v>
      </c>
      <c r="N283">
        <v>471</v>
      </c>
      <c r="O283">
        <v>3357</v>
      </c>
      <c r="P283" t="str">
        <f t="shared" si="4"/>
        <v>Weekend</v>
      </c>
    </row>
    <row r="284" spans="1:16" x14ac:dyDescent="0.3">
      <c r="A284">
        <v>4702921684</v>
      </c>
      <c r="B284" s="1">
        <v>42464</v>
      </c>
      <c r="C284">
        <v>7810</v>
      </c>
      <c r="D284" t="s">
        <v>422</v>
      </c>
      <c r="E284" t="s">
        <v>422</v>
      </c>
      <c r="F284">
        <v>0</v>
      </c>
      <c r="G284" t="s">
        <v>63</v>
      </c>
      <c r="H284" t="s">
        <v>66</v>
      </c>
      <c r="I284" t="s">
        <v>226</v>
      </c>
      <c r="J284">
        <v>0</v>
      </c>
      <c r="K284">
        <v>6</v>
      </c>
      <c r="L284">
        <v>27</v>
      </c>
      <c r="M284">
        <v>216</v>
      </c>
      <c r="N284">
        <v>746</v>
      </c>
      <c r="O284">
        <v>2931</v>
      </c>
      <c r="P284" t="str">
        <f t="shared" si="4"/>
        <v>Weekday</v>
      </c>
    </row>
    <row r="285" spans="1:16" x14ac:dyDescent="0.3">
      <c r="A285">
        <v>4702921684</v>
      </c>
      <c r="B285" s="1">
        <v>42465</v>
      </c>
      <c r="C285">
        <v>6670</v>
      </c>
      <c r="D285" t="s">
        <v>423</v>
      </c>
      <c r="E285" t="s">
        <v>423</v>
      </c>
      <c r="F285">
        <v>0</v>
      </c>
      <c r="G285" t="s">
        <v>87</v>
      </c>
      <c r="H285" t="s">
        <v>247</v>
      </c>
      <c r="I285" t="s">
        <v>424</v>
      </c>
      <c r="J285">
        <v>0</v>
      </c>
      <c r="K285">
        <v>15</v>
      </c>
      <c r="L285">
        <v>16</v>
      </c>
      <c r="M285">
        <v>199</v>
      </c>
      <c r="N285">
        <v>770</v>
      </c>
      <c r="O285">
        <v>2848</v>
      </c>
      <c r="P285" t="str">
        <f t="shared" si="4"/>
        <v>Weekday</v>
      </c>
    </row>
    <row r="286" spans="1:16" x14ac:dyDescent="0.3">
      <c r="A286">
        <v>4702921684</v>
      </c>
      <c r="B286" s="1">
        <v>42466</v>
      </c>
      <c r="C286">
        <v>7605</v>
      </c>
      <c r="D286" t="s">
        <v>425</v>
      </c>
      <c r="E286" t="s">
        <v>425</v>
      </c>
      <c r="F286">
        <v>0</v>
      </c>
      <c r="G286" t="s">
        <v>241</v>
      </c>
      <c r="H286" t="s">
        <v>130</v>
      </c>
      <c r="I286" t="s">
        <v>300</v>
      </c>
      <c r="J286">
        <v>0</v>
      </c>
      <c r="K286">
        <v>4</v>
      </c>
      <c r="L286">
        <v>4</v>
      </c>
      <c r="M286">
        <v>248</v>
      </c>
      <c r="N286">
        <v>708</v>
      </c>
      <c r="O286">
        <v>2943</v>
      </c>
      <c r="P286" t="str">
        <f t="shared" si="4"/>
        <v>Weekday</v>
      </c>
    </row>
    <row r="287" spans="1:16" x14ac:dyDescent="0.3">
      <c r="A287">
        <v>4702921684</v>
      </c>
      <c r="B287" s="1">
        <v>42467</v>
      </c>
      <c r="C287">
        <v>6585</v>
      </c>
      <c r="D287" t="s">
        <v>361</v>
      </c>
      <c r="E287" t="s">
        <v>361</v>
      </c>
      <c r="F287">
        <v>0</v>
      </c>
      <c r="G287">
        <v>0</v>
      </c>
      <c r="H287">
        <v>0</v>
      </c>
      <c r="I287" t="s">
        <v>361</v>
      </c>
      <c r="J287">
        <v>0</v>
      </c>
      <c r="K287">
        <v>0</v>
      </c>
      <c r="L287">
        <v>0</v>
      </c>
      <c r="M287">
        <v>210</v>
      </c>
      <c r="N287">
        <v>770</v>
      </c>
      <c r="O287">
        <v>2822</v>
      </c>
      <c r="P287" t="str">
        <f t="shared" si="4"/>
        <v>Weekday</v>
      </c>
    </row>
    <row r="288" spans="1:16" x14ac:dyDescent="0.3">
      <c r="A288">
        <v>4702921684</v>
      </c>
      <c r="B288" s="1">
        <v>42468</v>
      </c>
      <c r="C288">
        <v>8184</v>
      </c>
      <c r="D288" t="s">
        <v>426</v>
      </c>
      <c r="E288" t="s">
        <v>426</v>
      </c>
      <c r="F288">
        <v>0</v>
      </c>
      <c r="G288">
        <v>0</v>
      </c>
      <c r="H288" t="s">
        <v>339</v>
      </c>
      <c r="I288" t="s">
        <v>427</v>
      </c>
      <c r="J288">
        <v>0</v>
      </c>
      <c r="K288">
        <v>0</v>
      </c>
      <c r="L288">
        <v>15</v>
      </c>
      <c r="M288">
        <v>247</v>
      </c>
      <c r="N288">
        <v>808</v>
      </c>
      <c r="O288">
        <v>2981</v>
      </c>
      <c r="P288" t="str">
        <f t="shared" si="4"/>
        <v>Weekday</v>
      </c>
    </row>
    <row r="289" spans="1:16" x14ac:dyDescent="0.3">
      <c r="A289">
        <v>4702921684</v>
      </c>
      <c r="B289" s="1">
        <v>42469</v>
      </c>
      <c r="C289">
        <v>14002</v>
      </c>
      <c r="D289" t="s">
        <v>428</v>
      </c>
      <c r="E289" t="s">
        <v>428</v>
      </c>
      <c r="F289">
        <v>0</v>
      </c>
      <c r="G289" t="s">
        <v>140</v>
      </c>
      <c r="H289" t="s">
        <v>429</v>
      </c>
      <c r="I289" t="s">
        <v>430</v>
      </c>
      <c r="J289">
        <v>0</v>
      </c>
      <c r="K289">
        <v>8</v>
      </c>
      <c r="L289">
        <v>56</v>
      </c>
      <c r="M289">
        <v>381</v>
      </c>
      <c r="N289">
        <v>407</v>
      </c>
      <c r="O289">
        <v>3597</v>
      </c>
      <c r="P289" t="str">
        <f t="shared" si="4"/>
        <v>Weekend</v>
      </c>
    </row>
    <row r="290" spans="1:16" x14ac:dyDescent="0.3">
      <c r="A290">
        <v>4702921684</v>
      </c>
      <c r="B290" s="1">
        <v>42470</v>
      </c>
      <c r="C290">
        <v>11135</v>
      </c>
      <c r="D290" t="s">
        <v>431</v>
      </c>
      <c r="E290" t="s">
        <v>431</v>
      </c>
      <c r="F290">
        <v>0</v>
      </c>
      <c r="G290" t="s">
        <v>183</v>
      </c>
      <c r="H290" t="s">
        <v>355</v>
      </c>
      <c r="I290" t="s">
        <v>432</v>
      </c>
      <c r="J290">
        <v>0</v>
      </c>
      <c r="K290">
        <v>1</v>
      </c>
      <c r="L290">
        <v>25</v>
      </c>
      <c r="M290">
        <v>331</v>
      </c>
      <c r="N290">
        <v>528</v>
      </c>
      <c r="O290">
        <v>3224</v>
      </c>
      <c r="P290" t="str">
        <f t="shared" si="4"/>
        <v>Weekend</v>
      </c>
    </row>
    <row r="291" spans="1:16" x14ac:dyDescent="0.3">
      <c r="A291">
        <v>4702921684</v>
      </c>
      <c r="B291" s="1">
        <v>42471</v>
      </c>
      <c r="C291">
        <v>6499</v>
      </c>
      <c r="D291" t="s">
        <v>389</v>
      </c>
      <c r="E291" t="s">
        <v>389</v>
      </c>
      <c r="F291">
        <v>0</v>
      </c>
      <c r="G291">
        <v>0</v>
      </c>
      <c r="H291">
        <v>0</v>
      </c>
      <c r="I291" t="s">
        <v>389</v>
      </c>
      <c r="J291">
        <v>0</v>
      </c>
      <c r="K291">
        <v>0</v>
      </c>
      <c r="L291">
        <v>0</v>
      </c>
      <c r="M291">
        <v>207</v>
      </c>
      <c r="N291">
        <v>809</v>
      </c>
      <c r="O291">
        <v>2677</v>
      </c>
      <c r="P291" t="str">
        <f t="shared" si="4"/>
        <v>Weekday</v>
      </c>
    </row>
    <row r="292" spans="1:16" hidden="1" x14ac:dyDescent="0.3">
      <c r="A292">
        <v>4702921684</v>
      </c>
      <c r="B292" s="1">
        <v>42472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1440</v>
      </c>
      <c r="O292">
        <v>0</v>
      </c>
      <c r="P292" t="str">
        <f t="shared" si="4"/>
        <v>Weekday</v>
      </c>
    </row>
    <row r="293" spans="1:16" x14ac:dyDescent="0.3">
      <c r="A293">
        <v>5553957443</v>
      </c>
      <c r="B293" s="1">
        <v>42461</v>
      </c>
      <c r="C293">
        <v>12409</v>
      </c>
      <c r="D293" t="s">
        <v>71</v>
      </c>
      <c r="E293" t="s">
        <v>71</v>
      </c>
      <c r="F293">
        <v>0</v>
      </c>
      <c r="G293" t="s">
        <v>433</v>
      </c>
      <c r="H293" t="s">
        <v>162</v>
      </c>
      <c r="I293" t="s">
        <v>434</v>
      </c>
      <c r="J293">
        <v>0</v>
      </c>
      <c r="K293">
        <v>51</v>
      </c>
      <c r="L293">
        <v>12</v>
      </c>
      <c r="M293">
        <v>235</v>
      </c>
      <c r="N293">
        <v>782</v>
      </c>
      <c r="O293">
        <v>2142</v>
      </c>
      <c r="P293" t="str">
        <f t="shared" si="4"/>
        <v>Weekday</v>
      </c>
    </row>
    <row r="294" spans="1:16" x14ac:dyDescent="0.3">
      <c r="A294">
        <v>5553957443</v>
      </c>
      <c r="B294" s="1">
        <v>42462</v>
      </c>
      <c r="C294">
        <v>2937</v>
      </c>
      <c r="D294" t="s">
        <v>198</v>
      </c>
      <c r="E294" t="s">
        <v>198</v>
      </c>
      <c r="F294">
        <v>0</v>
      </c>
      <c r="G294">
        <v>0</v>
      </c>
      <c r="H294">
        <v>0</v>
      </c>
      <c r="I294" t="s">
        <v>435</v>
      </c>
      <c r="J294">
        <v>0</v>
      </c>
      <c r="K294">
        <v>0</v>
      </c>
      <c r="L294">
        <v>0</v>
      </c>
      <c r="M294">
        <v>181</v>
      </c>
      <c r="N294">
        <v>356</v>
      </c>
      <c r="O294">
        <v>1615</v>
      </c>
      <c r="P294" t="str">
        <f t="shared" si="4"/>
        <v>Weekend</v>
      </c>
    </row>
    <row r="295" spans="1:16" x14ac:dyDescent="0.3">
      <c r="A295">
        <v>5553957443</v>
      </c>
      <c r="B295" s="1">
        <v>42463</v>
      </c>
      <c r="C295">
        <v>1515</v>
      </c>
      <c r="D295" t="s">
        <v>436</v>
      </c>
      <c r="E295" t="s">
        <v>436</v>
      </c>
      <c r="F295">
        <v>0</v>
      </c>
      <c r="G295">
        <v>0</v>
      </c>
      <c r="H295">
        <v>0</v>
      </c>
      <c r="I295" t="s">
        <v>436</v>
      </c>
      <c r="J295">
        <v>0</v>
      </c>
      <c r="K295">
        <v>0</v>
      </c>
      <c r="L295">
        <v>0</v>
      </c>
      <c r="M295">
        <v>93</v>
      </c>
      <c r="N295">
        <v>507</v>
      </c>
      <c r="O295">
        <v>1481</v>
      </c>
      <c r="P295" t="str">
        <f t="shared" si="4"/>
        <v>Weekend</v>
      </c>
    </row>
    <row r="296" spans="1:16" x14ac:dyDescent="0.3">
      <c r="A296">
        <v>5553957443</v>
      </c>
      <c r="B296" s="1">
        <v>42464</v>
      </c>
      <c r="C296">
        <v>8921</v>
      </c>
      <c r="D296" t="s">
        <v>437</v>
      </c>
      <c r="E296" t="s">
        <v>437</v>
      </c>
      <c r="F296">
        <v>0</v>
      </c>
      <c r="G296" t="s">
        <v>438</v>
      </c>
      <c r="H296" t="s">
        <v>439</v>
      </c>
      <c r="I296" t="s">
        <v>242</v>
      </c>
      <c r="J296">
        <v>0</v>
      </c>
      <c r="K296">
        <v>27</v>
      </c>
      <c r="L296">
        <v>8</v>
      </c>
      <c r="M296">
        <v>198</v>
      </c>
      <c r="N296">
        <v>754</v>
      </c>
      <c r="O296">
        <v>1892</v>
      </c>
      <c r="P296" t="str">
        <f t="shared" si="4"/>
        <v>Weekday</v>
      </c>
    </row>
    <row r="297" spans="1:16" x14ac:dyDescent="0.3">
      <c r="A297">
        <v>5553957443</v>
      </c>
      <c r="B297" s="1">
        <v>42465</v>
      </c>
      <c r="C297">
        <v>11306</v>
      </c>
      <c r="D297" t="s">
        <v>440</v>
      </c>
      <c r="E297" t="s">
        <v>440</v>
      </c>
      <c r="F297">
        <v>0</v>
      </c>
      <c r="G297" t="s">
        <v>315</v>
      </c>
      <c r="H297" t="s">
        <v>171</v>
      </c>
      <c r="I297" t="s">
        <v>324</v>
      </c>
      <c r="J297">
        <v>0</v>
      </c>
      <c r="K297">
        <v>40</v>
      </c>
      <c r="L297">
        <v>26</v>
      </c>
      <c r="M297">
        <v>218</v>
      </c>
      <c r="N297">
        <v>772</v>
      </c>
      <c r="O297">
        <v>2086</v>
      </c>
      <c r="P297" t="str">
        <f t="shared" si="4"/>
        <v>Weekday</v>
      </c>
    </row>
    <row r="298" spans="1:16" x14ac:dyDescent="0.3">
      <c r="A298">
        <v>5553957443</v>
      </c>
      <c r="B298" s="1">
        <v>42466</v>
      </c>
      <c r="C298">
        <v>12252</v>
      </c>
      <c r="D298">
        <v>8</v>
      </c>
      <c r="E298">
        <v>8</v>
      </c>
      <c r="F298">
        <v>0</v>
      </c>
      <c r="G298" t="s">
        <v>131</v>
      </c>
      <c r="H298" t="s">
        <v>441</v>
      </c>
      <c r="I298" t="s">
        <v>442</v>
      </c>
      <c r="J298">
        <v>0</v>
      </c>
      <c r="K298">
        <v>33</v>
      </c>
      <c r="L298">
        <v>28</v>
      </c>
      <c r="M298">
        <v>229</v>
      </c>
      <c r="N298">
        <v>745</v>
      </c>
      <c r="O298">
        <v>2044</v>
      </c>
      <c r="P298" t="str">
        <f t="shared" si="4"/>
        <v>Weekday</v>
      </c>
    </row>
    <row r="299" spans="1:16" x14ac:dyDescent="0.3">
      <c r="A299">
        <v>5553957443</v>
      </c>
      <c r="B299" s="1">
        <v>42467</v>
      </c>
      <c r="C299">
        <v>15444</v>
      </c>
      <c r="D299" t="s">
        <v>443</v>
      </c>
      <c r="E299" t="s">
        <v>443</v>
      </c>
      <c r="F299">
        <v>0</v>
      </c>
      <c r="G299" t="s">
        <v>214</v>
      </c>
      <c r="H299" t="s">
        <v>444</v>
      </c>
      <c r="I299" t="s">
        <v>445</v>
      </c>
      <c r="J299">
        <v>0</v>
      </c>
      <c r="K299">
        <v>51</v>
      </c>
      <c r="L299">
        <v>39</v>
      </c>
      <c r="M299">
        <v>243</v>
      </c>
      <c r="N299">
        <v>731</v>
      </c>
      <c r="O299">
        <v>2249</v>
      </c>
      <c r="P299" t="str">
        <f t="shared" si="4"/>
        <v>Weekday</v>
      </c>
    </row>
    <row r="300" spans="1:16" x14ac:dyDescent="0.3">
      <c r="A300">
        <v>5553957443</v>
      </c>
      <c r="B300" s="1">
        <v>42468</v>
      </c>
      <c r="C300">
        <v>9938</v>
      </c>
      <c r="D300" t="s">
        <v>446</v>
      </c>
      <c r="E300" t="s">
        <v>446</v>
      </c>
      <c r="F300">
        <v>0</v>
      </c>
      <c r="G300" t="s">
        <v>310</v>
      </c>
      <c r="H300" t="s">
        <v>51</v>
      </c>
      <c r="I300" t="s">
        <v>447</v>
      </c>
      <c r="J300">
        <v>0</v>
      </c>
      <c r="K300">
        <v>38</v>
      </c>
      <c r="L300">
        <v>24</v>
      </c>
      <c r="M300">
        <v>193</v>
      </c>
      <c r="N300">
        <v>767</v>
      </c>
      <c r="O300">
        <v>2019</v>
      </c>
      <c r="P300" t="str">
        <f t="shared" si="4"/>
        <v>Weekday</v>
      </c>
    </row>
    <row r="301" spans="1:16" x14ac:dyDescent="0.3">
      <c r="A301">
        <v>5553957443</v>
      </c>
      <c r="B301" s="1">
        <v>42469</v>
      </c>
      <c r="C301">
        <v>4599</v>
      </c>
      <c r="D301">
        <v>3</v>
      </c>
      <c r="E301">
        <v>3</v>
      </c>
      <c r="F301">
        <v>0</v>
      </c>
      <c r="G301">
        <v>0</v>
      </c>
      <c r="H301">
        <v>0</v>
      </c>
      <c r="I301">
        <v>3</v>
      </c>
      <c r="J301">
        <v>0</v>
      </c>
      <c r="K301">
        <v>0</v>
      </c>
      <c r="L301">
        <v>0</v>
      </c>
      <c r="M301">
        <v>176</v>
      </c>
      <c r="N301">
        <v>578</v>
      </c>
      <c r="O301">
        <v>1692</v>
      </c>
      <c r="P301" t="str">
        <f t="shared" si="4"/>
        <v>Weekend</v>
      </c>
    </row>
    <row r="302" spans="1:16" x14ac:dyDescent="0.3">
      <c r="A302">
        <v>5553957443</v>
      </c>
      <c r="B302" s="1">
        <v>42470</v>
      </c>
      <c r="C302">
        <v>5594</v>
      </c>
      <c r="D302" t="s">
        <v>346</v>
      </c>
      <c r="E302" t="s">
        <v>346</v>
      </c>
      <c r="F302">
        <v>0</v>
      </c>
      <c r="G302" t="s">
        <v>448</v>
      </c>
      <c r="H302" t="s">
        <v>449</v>
      </c>
      <c r="I302" t="s">
        <v>94</v>
      </c>
      <c r="J302">
        <v>0</v>
      </c>
      <c r="K302">
        <v>4</v>
      </c>
      <c r="L302">
        <v>25</v>
      </c>
      <c r="M302">
        <v>150</v>
      </c>
      <c r="N302">
        <v>552</v>
      </c>
      <c r="O302">
        <v>1712</v>
      </c>
      <c r="P302" t="str">
        <f t="shared" si="4"/>
        <v>Weekend</v>
      </c>
    </row>
    <row r="303" spans="1:16" x14ac:dyDescent="0.3">
      <c r="A303">
        <v>5553957443</v>
      </c>
      <c r="B303" s="1">
        <v>42471</v>
      </c>
      <c r="C303">
        <v>11906</v>
      </c>
      <c r="D303" t="s">
        <v>450</v>
      </c>
      <c r="E303" t="s">
        <v>450</v>
      </c>
      <c r="F303">
        <v>0</v>
      </c>
      <c r="G303" t="s">
        <v>451</v>
      </c>
      <c r="H303" t="s">
        <v>124</v>
      </c>
      <c r="I303" t="s">
        <v>329</v>
      </c>
      <c r="J303">
        <v>0</v>
      </c>
      <c r="K303">
        <v>32</v>
      </c>
      <c r="L303">
        <v>27</v>
      </c>
      <c r="M303">
        <v>234</v>
      </c>
      <c r="N303">
        <v>688</v>
      </c>
      <c r="O303">
        <v>2065</v>
      </c>
      <c r="P303" t="str">
        <f t="shared" si="4"/>
        <v>Weekday</v>
      </c>
    </row>
    <row r="304" spans="1:16" x14ac:dyDescent="0.3">
      <c r="A304">
        <v>5553957443</v>
      </c>
      <c r="B304" s="1">
        <v>42472</v>
      </c>
      <c r="C304">
        <v>3436</v>
      </c>
      <c r="D304" t="s">
        <v>452</v>
      </c>
      <c r="E304" t="s">
        <v>452</v>
      </c>
      <c r="F304">
        <v>0</v>
      </c>
      <c r="G304" t="s">
        <v>348</v>
      </c>
      <c r="H304" t="s">
        <v>453</v>
      </c>
      <c r="I304" t="s">
        <v>184</v>
      </c>
      <c r="J304">
        <v>0</v>
      </c>
      <c r="K304">
        <v>7</v>
      </c>
      <c r="L304">
        <v>11</v>
      </c>
      <c r="M304">
        <v>50</v>
      </c>
      <c r="N304">
        <v>61</v>
      </c>
      <c r="O304">
        <v>633</v>
      </c>
      <c r="P304" t="str">
        <f t="shared" si="4"/>
        <v>Weekday</v>
      </c>
    </row>
    <row r="305" spans="1:16" x14ac:dyDescent="0.3">
      <c r="A305">
        <v>5577150313</v>
      </c>
      <c r="B305" s="1">
        <v>42461</v>
      </c>
      <c r="C305">
        <v>10461</v>
      </c>
      <c r="D305" t="s">
        <v>43</v>
      </c>
      <c r="E305" t="s">
        <v>43</v>
      </c>
      <c r="F305">
        <v>0</v>
      </c>
      <c r="G305" t="s">
        <v>454</v>
      </c>
      <c r="H305" t="s">
        <v>380</v>
      </c>
      <c r="I305" s="2">
        <v>45689</v>
      </c>
      <c r="J305">
        <v>0</v>
      </c>
      <c r="K305">
        <v>99</v>
      </c>
      <c r="L305">
        <v>31</v>
      </c>
      <c r="M305">
        <v>142</v>
      </c>
      <c r="N305">
        <v>721</v>
      </c>
      <c r="O305">
        <v>3625</v>
      </c>
      <c r="P305" t="str">
        <f t="shared" si="4"/>
        <v>Weekday</v>
      </c>
    </row>
    <row r="306" spans="1:16" x14ac:dyDescent="0.3">
      <c r="A306">
        <v>5577150313</v>
      </c>
      <c r="B306" s="1">
        <v>42462</v>
      </c>
      <c r="C306">
        <v>14873</v>
      </c>
      <c r="D306" t="s">
        <v>455</v>
      </c>
      <c r="E306" t="s">
        <v>455</v>
      </c>
      <c r="F306">
        <v>0</v>
      </c>
      <c r="G306" t="s">
        <v>456</v>
      </c>
      <c r="H306" t="s">
        <v>243</v>
      </c>
      <c r="I306" t="s">
        <v>315</v>
      </c>
      <c r="J306">
        <v>0</v>
      </c>
      <c r="K306">
        <v>202</v>
      </c>
      <c r="L306">
        <v>36</v>
      </c>
      <c r="M306">
        <v>153</v>
      </c>
      <c r="N306">
        <v>663</v>
      </c>
      <c r="O306">
        <v>4430</v>
      </c>
      <c r="P306" t="str">
        <f t="shared" si="4"/>
        <v>Weekend</v>
      </c>
    </row>
    <row r="307" spans="1:16" x14ac:dyDescent="0.3">
      <c r="A307">
        <v>5577150313</v>
      </c>
      <c r="B307" s="1">
        <v>42463</v>
      </c>
      <c r="C307">
        <v>9917</v>
      </c>
      <c r="D307" t="s">
        <v>325</v>
      </c>
      <c r="E307" t="s">
        <v>325</v>
      </c>
      <c r="F307">
        <v>0</v>
      </c>
      <c r="G307" t="s">
        <v>285</v>
      </c>
      <c r="H307" t="s">
        <v>138</v>
      </c>
      <c r="I307" t="s">
        <v>303</v>
      </c>
      <c r="J307">
        <v>0</v>
      </c>
      <c r="K307">
        <v>58</v>
      </c>
      <c r="L307">
        <v>27</v>
      </c>
      <c r="M307">
        <v>240</v>
      </c>
      <c r="N307">
        <v>700</v>
      </c>
      <c r="O307">
        <v>3427</v>
      </c>
      <c r="P307" t="str">
        <f t="shared" si="4"/>
        <v>Weekend</v>
      </c>
    </row>
    <row r="308" spans="1:16" x14ac:dyDescent="0.3">
      <c r="A308">
        <v>5577150313</v>
      </c>
      <c r="B308" s="1">
        <v>42464</v>
      </c>
      <c r="C308">
        <v>7401</v>
      </c>
      <c r="D308" t="s">
        <v>457</v>
      </c>
      <c r="E308" t="s">
        <v>457</v>
      </c>
      <c r="F308">
        <v>0</v>
      </c>
      <c r="G308" t="s">
        <v>101</v>
      </c>
      <c r="H308" t="s">
        <v>155</v>
      </c>
      <c r="I308" t="s">
        <v>458</v>
      </c>
      <c r="J308">
        <v>0</v>
      </c>
      <c r="K308">
        <v>70</v>
      </c>
      <c r="L308">
        <v>19</v>
      </c>
      <c r="M308">
        <v>204</v>
      </c>
      <c r="N308">
        <v>689</v>
      </c>
      <c r="O308">
        <v>3492</v>
      </c>
      <c r="P308" t="str">
        <f t="shared" si="4"/>
        <v>Weekday</v>
      </c>
    </row>
    <row r="309" spans="1:16" x14ac:dyDescent="0.3">
      <c r="A309">
        <v>5577150313</v>
      </c>
      <c r="B309" s="1">
        <v>42465</v>
      </c>
      <c r="C309">
        <v>8964</v>
      </c>
      <c r="D309" t="s">
        <v>459</v>
      </c>
      <c r="E309" t="s">
        <v>459</v>
      </c>
      <c r="F309">
        <v>0</v>
      </c>
      <c r="G309" t="s">
        <v>313</v>
      </c>
      <c r="H309" t="s">
        <v>246</v>
      </c>
      <c r="I309" t="s">
        <v>397</v>
      </c>
      <c r="J309">
        <v>0</v>
      </c>
      <c r="K309">
        <v>107</v>
      </c>
      <c r="L309">
        <v>18</v>
      </c>
      <c r="M309">
        <v>145</v>
      </c>
      <c r="N309">
        <v>756</v>
      </c>
      <c r="O309">
        <v>3597</v>
      </c>
      <c r="P309" t="str">
        <f t="shared" si="4"/>
        <v>Weekday</v>
      </c>
    </row>
    <row r="310" spans="1:16" x14ac:dyDescent="0.3">
      <c r="A310">
        <v>5577150313</v>
      </c>
      <c r="B310" s="1">
        <v>42466</v>
      </c>
      <c r="C310">
        <v>11080</v>
      </c>
      <c r="D310" t="s">
        <v>460</v>
      </c>
      <c r="E310" t="s">
        <v>460</v>
      </c>
      <c r="F310">
        <v>0</v>
      </c>
      <c r="G310" t="s">
        <v>330</v>
      </c>
      <c r="H310" t="s">
        <v>461</v>
      </c>
      <c r="I310" t="s">
        <v>462</v>
      </c>
      <c r="J310">
        <v>0</v>
      </c>
      <c r="K310">
        <v>83</v>
      </c>
      <c r="L310">
        <v>52</v>
      </c>
      <c r="M310">
        <v>190</v>
      </c>
      <c r="N310">
        <v>695</v>
      </c>
      <c r="O310">
        <v>3765</v>
      </c>
      <c r="P310" t="str">
        <f t="shared" si="4"/>
        <v>Weekday</v>
      </c>
    </row>
    <row r="311" spans="1:16" x14ac:dyDescent="0.3">
      <c r="A311">
        <v>5577150313</v>
      </c>
      <c r="B311" s="1">
        <v>42467</v>
      </c>
      <c r="C311">
        <v>4499</v>
      </c>
      <c r="D311" t="s">
        <v>242</v>
      </c>
      <c r="E311" t="s">
        <v>242</v>
      </c>
      <c r="F311">
        <v>0</v>
      </c>
      <c r="G311" t="s">
        <v>166</v>
      </c>
      <c r="H311" t="s">
        <v>323</v>
      </c>
      <c r="I311" t="s">
        <v>152</v>
      </c>
      <c r="J311">
        <v>0</v>
      </c>
      <c r="K311">
        <v>31</v>
      </c>
      <c r="L311">
        <v>11</v>
      </c>
      <c r="M311">
        <v>146</v>
      </c>
      <c r="N311">
        <v>756</v>
      </c>
      <c r="O311">
        <v>2775</v>
      </c>
      <c r="P311" t="str">
        <f t="shared" si="4"/>
        <v>Weekday</v>
      </c>
    </row>
    <row r="312" spans="1:16" x14ac:dyDescent="0.3">
      <c r="A312">
        <v>5577150313</v>
      </c>
      <c r="B312" s="1">
        <v>42468</v>
      </c>
      <c r="C312">
        <v>4363</v>
      </c>
      <c r="D312" t="s">
        <v>463</v>
      </c>
      <c r="E312" t="s">
        <v>463</v>
      </c>
      <c r="F312">
        <v>0</v>
      </c>
      <c r="G312" t="s">
        <v>81</v>
      </c>
      <c r="H312" t="s">
        <v>202</v>
      </c>
      <c r="I312" t="s">
        <v>447</v>
      </c>
      <c r="J312">
        <v>0</v>
      </c>
      <c r="K312">
        <v>8</v>
      </c>
      <c r="L312">
        <v>2</v>
      </c>
      <c r="M312">
        <v>156</v>
      </c>
      <c r="N312">
        <v>813</v>
      </c>
      <c r="O312">
        <v>2486</v>
      </c>
      <c r="P312" t="str">
        <f t="shared" si="4"/>
        <v>Weekday</v>
      </c>
    </row>
    <row r="313" spans="1:16" x14ac:dyDescent="0.3">
      <c r="A313">
        <v>5577150313</v>
      </c>
      <c r="B313" s="1">
        <v>42469</v>
      </c>
      <c r="C313">
        <v>10494</v>
      </c>
      <c r="D313" t="s">
        <v>464</v>
      </c>
      <c r="E313" t="s">
        <v>464</v>
      </c>
      <c r="F313">
        <v>0</v>
      </c>
      <c r="G313" t="s">
        <v>288</v>
      </c>
      <c r="H313" t="s">
        <v>109</v>
      </c>
      <c r="I313" t="s">
        <v>91</v>
      </c>
      <c r="J313">
        <v>0</v>
      </c>
      <c r="K313">
        <v>123</v>
      </c>
      <c r="L313">
        <v>62</v>
      </c>
      <c r="M313">
        <v>138</v>
      </c>
      <c r="N313">
        <v>601</v>
      </c>
      <c r="O313">
        <v>3817</v>
      </c>
      <c r="P313" t="str">
        <f t="shared" si="4"/>
        <v>Weekend</v>
      </c>
    </row>
    <row r="314" spans="1:16" x14ac:dyDescent="0.3">
      <c r="A314">
        <v>5577150313</v>
      </c>
      <c r="B314" s="1">
        <v>42470</v>
      </c>
      <c r="C314">
        <v>9776</v>
      </c>
      <c r="D314" t="s">
        <v>440</v>
      </c>
      <c r="E314" t="s">
        <v>440</v>
      </c>
      <c r="F314">
        <v>0</v>
      </c>
      <c r="G314" t="s">
        <v>89</v>
      </c>
      <c r="H314" t="s">
        <v>193</v>
      </c>
      <c r="I314" t="s">
        <v>258</v>
      </c>
      <c r="J314">
        <v>0</v>
      </c>
      <c r="K314">
        <v>80</v>
      </c>
      <c r="L314">
        <v>35</v>
      </c>
      <c r="M314">
        <v>162</v>
      </c>
      <c r="N314">
        <v>721</v>
      </c>
      <c r="O314">
        <v>3378</v>
      </c>
      <c r="P314" t="str">
        <f t="shared" si="4"/>
        <v>Weekend</v>
      </c>
    </row>
    <row r="315" spans="1:16" x14ac:dyDescent="0.3">
      <c r="A315">
        <v>5577150313</v>
      </c>
      <c r="B315" s="1">
        <v>42471</v>
      </c>
      <c r="C315">
        <v>2862</v>
      </c>
      <c r="D315" t="s">
        <v>310</v>
      </c>
      <c r="E315" t="s">
        <v>310</v>
      </c>
      <c r="F315">
        <v>0</v>
      </c>
      <c r="G315" t="s">
        <v>283</v>
      </c>
      <c r="H315" t="s">
        <v>105</v>
      </c>
      <c r="I315" t="s">
        <v>158</v>
      </c>
      <c r="J315">
        <v>0</v>
      </c>
      <c r="K315">
        <v>39</v>
      </c>
      <c r="L315">
        <v>17</v>
      </c>
      <c r="M315">
        <v>54</v>
      </c>
      <c r="N315">
        <v>209</v>
      </c>
      <c r="O315">
        <v>1511</v>
      </c>
      <c r="P315" t="str">
        <f t="shared" si="4"/>
        <v>Weekday</v>
      </c>
    </row>
    <row r="316" spans="1:16" x14ac:dyDescent="0.3">
      <c r="A316">
        <v>6117666160</v>
      </c>
      <c r="B316" s="1">
        <v>42461</v>
      </c>
      <c r="C316">
        <v>7444</v>
      </c>
      <c r="D316" t="s">
        <v>465</v>
      </c>
      <c r="E316" t="s">
        <v>465</v>
      </c>
      <c r="F316">
        <v>0</v>
      </c>
      <c r="G316">
        <v>0</v>
      </c>
      <c r="H316">
        <v>0</v>
      </c>
      <c r="I316" t="s">
        <v>465</v>
      </c>
      <c r="J316">
        <v>0</v>
      </c>
      <c r="K316">
        <v>0</v>
      </c>
      <c r="L316">
        <v>0</v>
      </c>
      <c r="M316">
        <v>286</v>
      </c>
      <c r="N316">
        <v>568</v>
      </c>
      <c r="O316">
        <v>2210</v>
      </c>
      <c r="P316" t="str">
        <f t="shared" si="4"/>
        <v>Weekday</v>
      </c>
    </row>
    <row r="317" spans="1:16" x14ac:dyDescent="0.3">
      <c r="A317">
        <v>6117666160</v>
      </c>
      <c r="B317" s="1">
        <v>42462</v>
      </c>
      <c r="C317">
        <v>19658</v>
      </c>
      <c r="D317" t="s">
        <v>466</v>
      </c>
      <c r="E317" t="s">
        <v>466</v>
      </c>
      <c r="F317">
        <v>0</v>
      </c>
      <c r="G317" t="s">
        <v>357</v>
      </c>
      <c r="H317" t="s">
        <v>358</v>
      </c>
      <c r="I317" t="s">
        <v>467</v>
      </c>
      <c r="J317">
        <v>0</v>
      </c>
      <c r="K317">
        <v>3</v>
      </c>
      <c r="L317">
        <v>30</v>
      </c>
      <c r="M317">
        <v>475</v>
      </c>
      <c r="N317">
        <v>466</v>
      </c>
      <c r="O317">
        <v>2884</v>
      </c>
      <c r="P317" t="str">
        <f t="shared" si="4"/>
        <v>Weekend</v>
      </c>
    </row>
    <row r="318" spans="1:16" hidden="1" x14ac:dyDescent="0.3">
      <c r="A318">
        <v>6117666160</v>
      </c>
      <c r="B318" s="1">
        <v>42463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1440</v>
      </c>
      <c r="O318">
        <v>1496</v>
      </c>
      <c r="P318" t="str">
        <f t="shared" si="4"/>
        <v>Weekend</v>
      </c>
    </row>
    <row r="319" spans="1:16" x14ac:dyDescent="0.3">
      <c r="A319">
        <v>6117666160</v>
      </c>
      <c r="B319" s="1">
        <v>42464</v>
      </c>
      <c r="C319">
        <v>8468</v>
      </c>
      <c r="D319" t="s">
        <v>468</v>
      </c>
      <c r="E319" t="s">
        <v>468</v>
      </c>
      <c r="F319">
        <v>0</v>
      </c>
      <c r="G319" t="s">
        <v>287</v>
      </c>
      <c r="H319" t="s">
        <v>469</v>
      </c>
      <c r="I319" t="s">
        <v>470</v>
      </c>
      <c r="J319">
        <v>0</v>
      </c>
      <c r="K319">
        <v>2</v>
      </c>
      <c r="L319">
        <v>11</v>
      </c>
      <c r="M319">
        <v>279</v>
      </c>
      <c r="N319">
        <v>1148</v>
      </c>
      <c r="O319">
        <v>2262</v>
      </c>
      <c r="P319" t="str">
        <f t="shared" si="4"/>
        <v>Weekday</v>
      </c>
    </row>
    <row r="320" spans="1:16" x14ac:dyDescent="0.3">
      <c r="A320">
        <v>6117666160</v>
      </c>
      <c r="B320" s="1">
        <v>42465</v>
      </c>
      <c r="C320">
        <v>9910</v>
      </c>
      <c r="D320" t="s">
        <v>471</v>
      </c>
      <c r="E320" t="s">
        <v>471</v>
      </c>
      <c r="F320">
        <v>0</v>
      </c>
      <c r="G320">
        <v>0</v>
      </c>
      <c r="H320">
        <v>0</v>
      </c>
      <c r="I320" t="s">
        <v>471</v>
      </c>
      <c r="J320">
        <v>0</v>
      </c>
      <c r="K320">
        <v>0</v>
      </c>
      <c r="L320">
        <v>0</v>
      </c>
      <c r="M320">
        <v>384</v>
      </c>
      <c r="N320">
        <v>990</v>
      </c>
      <c r="O320">
        <v>2445</v>
      </c>
      <c r="P320" t="str">
        <f t="shared" si="4"/>
        <v>Weekday</v>
      </c>
    </row>
    <row r="321" spans="1:16" x14ac:dyDescent="0.3">
      <c r="A321">
        <v>6117666160</v>
      </c>
      <c r="B321" s="1">
        <v>42466</v>
      </c>
      <c r="C321">
        <v>12409</v>
      </c>
      <c r="D321" t="s">
        <v>472</v>
      </c>
      <c r="E321" t="s">
        <v>472</v>
      </c>
      <c r="F321">
        <v>0</v>
      </c>
      <c r="G321">
        <v>0</v>
      </c>
      <c r="H321">
        <v>0</v>
      </c>
      <c r="I321" t="s">
        <v>472</v>
      </c>
      <c r="J321">
        <v>0</v>
      </c>
      <c r="K321">
        <v>0</v>
      </c>
      <c r="L321">
        <v>0</v>
      </c>
      <c r="M321">
        <v>491</v>
      </c>
      <c r="N321">
        <v>388</v>
      </c>
      <c r="O321">
        <v>2694</v>
      </c>
      <c r="P321" t="str">
        <f t="shared" si="4"/>
        <v>Weekday</v>
      </c>
    </row>
    <row r="322" spans="1:16" x14ac:dyDescent="0.3">
      <c r="A322">
        <v>6117666160</v>
      </c>
      <c r="B322" s="1">
        <v>42467</v>
      </c>
      <c r="C322">
        <v>4853</v>
      </c>
      <c r="D322" t="s">
        <v>473</v>
      </c>
      <c r="E322" t="s">
        <v>473</v>
      </c>
      <c r="F322">
        <v>0</v>
      </c>
      <c r="G322">
        <v>0</v>
      </c>
      <c r="H322">
        <v>0</v>
      </c>
      <c r="I322" t="s">
        <v>473</v>
      </c>
      <c r="J322">
        <v>0</v>
      </c>
      <c r="K322">
        <v>0</v>
      </c>
      <c r="L322">
        <v>0</v>
      </c>
      <c r="M322">
        <v>156</v>
      </c>
      <c r="N322">
        <v>770</v>
      </c>
      <c r="O322">
        <v>1903</v>
      </c>
      <c r="P322" t="str">
        <f t="shared" si="4"/>
        <v>Weekday</v>
      </c>
    </row>
    <row r="323" spans="1:16" x14ac:dyDescent="0.3">
      <c r="A323">
        <v>6117666160</v>
      </c>
      <c r="B323" s="1">
        <v>42468</v>
      </c>
      <c r="C323">
        <v>8955</v>
      </c>
      <c r="D323" t="s">
        <v>384</v>
      </c>
      <c r="E323" t="s">
        <v>384</v>
      </c>
      <c r="F323">
        <v>0</v>
      </c>
      <c r="G323">
        <v>0</v>
      </c>
      <c r="H323">
        <v>0</v>
      </c>
      <c r="I323" t="s">
        <v>474</v>
      </c>
      <c r="J323">
        <v>0</v>
      </c>
      <c r="K323">
        <v>0</v>
      </c>
      <c r="L323">
        <v>0</v>
      </c>
      <c r="M323">
        <v>422</v>
      </c>
      <c r="N323">
        <v>1018</v>
      </c>
      <c r="O323">
        <v>2482</v>
      </c>
      <c r="P323" t="str">
        <f t="shared" ref="P323:P386" si="5">IF(OR(WEEKDAY(B323,2)=6, WEEKDAY(B323,2)=7),"Weekend","Weekday")</f>
        <v>Weekday</v>
      </c>
    </row>
    <row r="324" spans="1:16" x14ac:dyDescent="0.3">
      <c r="A324">
        <v>6117666160</v>
      </c>
      <c r="B324" s="1">
        <v>42469</v>
      </c>
      <c r="C324">
        <v>10789</v>
      </c>
      <c r="D324" t="s">
        <v>475</v>
      </c>
      <c r="E324" t="s">
        <v>475</v>
      </c>
      <c r="F324">
        <v>0</v>
      </c>
      <c r="G324">
        <v>0</v>
      </c>
      <c r="H324">
        <v>0</v>
      </c>
      <c r="I324" t="s">
        <v>475</v>
      </c>
      <c r="J324">
        <v>0</v>
      </c>
      <c r="K324">
        <v>0</v>
      </c>
      <c r="L324">
        <v>0</v>
      </c>
      <c r="M324">
        <v>506</v>
      </c>
      <c r="N324">
        <v>413</v>
      </c>
      <c r="O324">
        <v>2617</v>
      </c>
      <c r="P324" t="str">
        <f t="shared" si="5"/>
        <v>Weekend</v>
      </c>
    </row>
    <row r="325" spans="1:16" hidden="1" x14ac:dyDescent="0.3">
      <c r="A325">
        <v>6117666160</v>
      </c>
      <c r="B325" s="1">
        <v>42470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1440</v>
      </c>
      <c r="O325">
        <v>0</v>
      </c>
      <c r="P325" t="str">
        <f t="shared" si="5"/>
        <v>Weekend</v>
      </c>
    </row>
    <row r="326" spans="1:16" x14ac:dyDescent="0.3">
      <c r="A326">
        <v>6290855005</v>
      </c>
      <c r="B326" s="1">
        <v>42461</v>
      </c>
      <c r="C326">
        <v>6633</v>
      </c>
      <c r="D326" t="s">
        <v>353</v>
      </c>
      <c r="E326" t="s">
        <v>353</v>
      </c>
      <c r="F326">
        <v>0</v>
      </c>
      <c r="G326">
        <v>0</v>
      </c>
      <c r="H326">
        <v>0</v>
      </c>
      <c r="I326" t="s">
        <v>353</v>
      </c>
      <c r="J326">
        <v>0</v>
      </c>
      <c r="K326">
        <v>0</v>
      </c>
      <c r="L326">
        <v>0</v>
      </c>
      <c r="M326">
        <v>280</v>
      </c>
      <c r="N326">
        <v>1160</v>
      </c>
      <c r="O326">
        <v>2778</v>
      </c>
      <c r="P326" t="str">
        <f t="shared" si="5"/>
        <v>Weekday</v>
      </c>
    </row>
    <row r="327" spans="1:16" x14ac:dyDescent="0.3">
      <c r="A327">
        <v>6290855005</v>
      </c>
      <c r="B327" s="1">
        <v>42462</v>
      </c>
      <c r="C327">
        <v>9548</v>
      </c>
      <c r="D327" t="s">
        <v>476</v>
      </c>
      <c r="E327" t="s">
        <v>476</v>
      </c>
      <c r="F327">
        <v>0</v>
      </c>
      <c r="G327" t="s">
        <v>399</v>
      </c>
      <c r="H327" t="s">
        <v>229</v>
      </c>
      <c r="I327" t="s">
        <v>124</v>
      </c>
      <c r="J327">
        <v>0</v>
      </c>
      <c r="K327">
        <v>25</v>
      </c>
      <c r="L327">
        <v>107</v>
      </c>
      <c r="M327">
        <v>113</v>
      </c>
      <c r="N327">
        <v>1195</v>
      </c>
      <c r="O327">
        <v>3119</v>
      </c>
      <c r="P327" t="str">
        <f t="shared" si="5"/>
        <v>Weekend</v>
      </c>
    </row>
    <row r="328" spans="1:16" hidden="1" x14ac:dyDescent="0.3">
      <c r="A328">
        <v>6290855005</v>
      </c>
      <c r="B328" s="1">
        <v>42463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33</v>
      </c>
      <c r="L328">
        <v>0</v>
      </c>
      <c r="M328">
        <v>0</v>
      </c>
      <c r="N328">
        <v>1407</v>
      </c>
      <c r="O328">
        <v>2664</v>
      </c>
      <c r="P328" t="str">
        <f t="shared" si="5"/>
        <v>Weekend</v>
      </c>
    </row>
    <row r="329" spans="1:16" hidden="1" x14ac:dyDescent="0.3">
      <c r="A329">
        <v>6290855005</v>
      </c>
      <c r="B329" s="1">
        <v>42464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1440</v>
      </c>
      <c r="O329">
        <v>2060</v>
      </c>
      <c r="P329" t="str">
        <f t="shared" si="5"/>
        <v>Weekday</v>
      </c>
    </row>
    <row r="330" spans="1:16" hidden="1" x14ac:dyDescent="0.3">
      <c r="A330">
        <v>6290855005</v>
      </c>
      <c r="B330" s="1">
        <v>42465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1440</v>
      </c>
      <c r="O330">
        <v>2060</v>
      </c>
      <c r="P330" t="str">
        <f t="shared" si="5"/>
        <v>Weekday</v>
      </c>
    </row>
    <row r="331" spans="1:16" hidden="1" x14ac:dyDescent="0.3">
      <c r="A331">
        <v>6290855005</v>
      </c>
      <c r="B331" s="1">
        <v>42466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1440</v>
      </c>
      <c r="O331">
        <v>2060</v>
      </c>
      <c r="P331" t="str">
        <f t="shared" si="5"/>
        <v>Weekday</v>
      </c>
    </row>
    <row r="332" spans="1:16" hidden="1" x14ac:dyDescent="0.3">
      <c r="A332">
        <v>6290855005</v>
      </c>
      <c r="B332" s="1">
        <v>42467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1440</v>
      </c>
      <c r="O332">
        <v>2060</v>
      </c>
      <c r="P332" t="str">
        <f t="shared" si="5"/>
        <v>Weekday</v>
      </c>
    </row>
    <row r="333" spans="1:16" hidden="1" x14ac:dyDescent="0.3">
      <c r="A333">
        <v>6290855005</v>
      </c>
      <c r="B333" s="1">
        <v>42468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1440</v>
      </c>
      <c r="O333">
        <v>2060</v>
      </c>
      <c r="P333" t="str">
        <f t="shared" si="5"/>
        <v>Weekday</v>
      </c>
    </row>
    <row r="334" spans="1:16" hidden="1" x14ac:dyDescent="0.3">
      <c r="A334">
        <v>6290855005</v>
      </c>
      <c r="B334" s="1">
        <v>42469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1440</v>
      </c>
      <c r="O334">
        <v>2060</v>
      </c>
      <c r="P334" t="str">
        <f t="shared" si="5"/>
        <v>Weekend</v>
      </c>
    </row>
    <row r="335" spans="1:16" hidden="1" x14ac:dyDescent="0.3">
      <c r="A335">
        <v>6290855005</v>
      </c>
      <c r="B335" s="1">
        <v>42470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20</v>
      </c>
      <c r="L335">
        <v>0</v>
      </c>
      <c r="M335">
        <v>0</v>
      </c>
      <c r="N335">
        <v>494</v>
      </c>
      <c r="O335">
        <v>735</v>
      </c>
      <c r="P335" t="str">
        <f t="shared" si="5"/>
        <v>Weekend</v>
      </c>
    </row>
    <row r="336" spans="1:16" hidden="1" x14ac:dyDescent="0.3">
      <c r="A336">
        <v>6391747486</v>
      </c>
      <c r="B336" s="1">
        <v>42461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1440</v>
      </c>
      <c r="O336">
        <v>1820</v>
      </c>
      <c r="P336" t="str">
        <f t="shared" si="5"/>
        <v>Weekday</v>
      </c>
    </row>
    <row r="337" spans="1:16" x14ac:dyDescent="0.3">
      <c r="A337">
        <v>6391747486</v>
      </c>
      <c r="B337" s="1">
        <v>42462</v>
      </c>
      <c r="C337">
        <v>2101</v>
      </c>
      <c r="D337" t="s">
        <v>199</v>
      </c>
      <c r="E337">
        <v>0</v>
      </c>
      <c r="F337" t="s">
        <v>477</v>
      </c>
      <c r="G337" t="s">
        <v>199</v>
      </c>
      <c r="H337">
        <v>0</v>
      </c>
      <c r="I337">
        <v>0</v>
      </c>
      <c r="J337">
        <v>0</v>
      </c>
      <c r="K337">
        <v>46</v>
      </c>
      <c r="L337">
        <v>0</v>
      </c>
      <c r="M337">
        <v>0</v>
      </c>
      <c r="N337">
        <v>1394</v>
      </c>
      <c r="O337">
        <v>2224</v>
      </c>
      <c r="P337" t="str">
        <f t="shared" si="5"/>
        <v>Weekend</v>
      </c>
    </row>
    <row r="338" spans="1:16" hidden="1" x14ac:dyDescent="0.3">
      <c r="A338">
        <v>6391747486</v>
      </c>
      <c r="B338" s="1">
        <v>42463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1440</v>
      </c>
      <c r="O338">
        <v>1820</v>
      </c>
      <c r="P338" t="str">
        <f t="shared" si="5"/>
        <v>Weekend</v>
      </c>
    </row>
    <row r="339" spans="1:16" hidden="1" x14ac:dyDescent="0.3">
      <c r="A339">
        <v>6391747486</v>
      </c>
      <c r="B339" s="1">
        <v>42464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1440</v>
      </c>
      <c r="O339">
        <v>1820</v>
      </c>
      <c r="P339" t="str">
        <f t="shared" si="5"/>
        <v>Weekday</v>
      </c>
    </row>
    <row r="340" spans="1:16" x14ac:dyDescent="0.3">
      <c r="A340">
        <v>6391747486</v>
      </c>
      <c r="B340" s="1">
        <v>42465</v>
      </c>
      <c r="C340">
        <v>9766</v>
      </c>
      <c r="D340" t="s">
        <v>351</v>
      </c>
      <c r="E340" t="s">
        <v>109</v>
      </c>
      <c r="F340" t="s">
        <v>478</v>
      </c>
      <c r="G340">
        <v>0</v>
      </c>
      <c r="H340" t="s">
        <v>333</v>
      </c>
      <c r="I340" t="s">
        <v>479</v>
      </c>
      <c r="J340">
        <v>0</v>
      </c>
      <c r="K340">
        <v>0</v>
      </c>
      <c r="L340">
        <v>6</v>
      </c>
      <c r="M340">
        <v>301</v>
      </c>
      <c r="N340">
        <v>1133</v>
      </c>
      <c r="O340">
        <v>2442</v>
      </c>
      <c r="P340" t="str">
        <f t="shared" si="5"/>
        <v>Weekday</v>
      </c>
    </row>
    <row r="341" spans="1:16" x14ac:dyDescent="0.3">
      <c r="A341">
        <v>6391747486</v>
      </c>
      <c r="B341" s="1">
        <v>42466</v>
      </c>
      <c r="C341">
        <v>165</v>
      </c>
      <c r="D341" t="s">
        <v>81</v>
      </c>
      <c r="E341" t="s">
        <v>81</v>
      </c>
      <c r="F341">
        <v>0</v>
      </c>
      <c r="G341">
        <v>0</v>
      </c>
      <c r="H341">
        <v>0</v>
      </c>
      <c r="I341" t="s">
        <v>81</v>
      </c>
      <c r="J341">
        <v>0</v>
      </c>
      <c r="K341">
        <v>0</v>
      </c>
      <c r="L341">
        <v>0</v>
      </c>
      <c r="M341">
        <v>8</v>
      </c>
      <c r="N341">
        <v>1432</v>
      </c>
      <c r="O341">
        <v>1849</v>
      </c>
      <c r="P341" t="str">
        <f t="shared" si="5"/>
        <v>Weekday</v>
      </c>
    </row>
    <row r="342" spans="1:16" hidden="1" x14ac:dyDescent="0.3">
      <c r="A342">
        <v>6391747486</v>
      </c>
      <c r="B342" s="1">
        <v>42467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1440</v>
      </c>
      <c r="O342">
        <v>1822</v>
      </c>
      <c r="P342" t="str">
        <f t="shared" si="5"/>
        <v>Weekday</v>
      </c>
    </row>
    <row r="343" spans="1:16" hidden="1" x14ac:dyDescent="0.3">
      <c r="A343">
        <v>6391747486</v>
      </c>
      <c r="B343" s="1">
        <v>42468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1440</v>
      </c>
      <c r="O343">
        <v>1820</v>
      </c>
      <c r="P343" t="str">
        <f t="shared" si="5"/>
        <v>Weekday</v>
      </c>
    </row>
    <row r="344" spans="1:16" hidden="1" x14ac:dyDescent="0.3">
      <c r="A344">
        <v>6391747486</v>
      </c>
      <c r="B344" s="1">
        <v>42469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198</v>
      </c>
      <c r="O344">
        <v>251</v>
      </c>
      <c r="P344" t="str">
        <f t="shared" si="5"/>
        <v>Weekend</v>
      </c>
    </row>
    <row r="345" spans="1:16" x14ac:dyDescent="0.3">
      <c r="A345">
        <v>6775888955</v>
      </c>
      <c r="B345" s="1">
        <v>42461</v>
      </c>
      <c r="C345">
        <v>7225</v>
      </c>
      <c r="D345" t="s">
        <v>480</v>
      </c>
      <c r="E345" t="s">
        <v>480</v>
      </c>
      <c r="F345">
        <v>0</v>
      </c>
      <c r="G345" t="s">
        <v>444</v>
      </c>
      <c r="H345" t="s">
        <v>191</v>
      </c>
      <c r="I345" t="s">
        <v>481</v>
      </c>
      <c r="J345">
        <v>0</v>
      </c>
      <c r="K345">
        <v>25</v>
      </c>
      <c r="L345">
        <v>50</v>
      </c>
      <c r="M345">
        <v>163</v>
      </c>
      <c r="N345">
        <v>1189</v>
      </c>
      <c r="O345">
        <v>3065</v>
      </c>
      <c r="P345" t="str">
        <f t="shared" si="5"/>
        <v>Weekday</v>
      </c>
    </row>
    <row r="346" spans="1:16" x14ac:dyDescent="0.3">
      <c r="A346">
        <v>6775888955</v>
      </c>
      <c r="B346" s="1">
        <v>42462</v>
      </c>
      <c r="C346">
        <v>1988</v>
      </c>
      <c r="D346" t="s">
        <v>193</v>
      </c>
      <c r="E346" t="s">
        <v>193</v>
      </c>
      <c r="F346">
        <v>0</v>
      </c>
      <c r="G346">
        <v>0</v>
      </c>
      <c r="H346">
        <v>0</v>
      </c>
      <c r="I346" t="s">
        <v>193</v>
      </c>
      <c r="J346">
        <v>0</v>
      </c>
      <c r="K346">
        <v>0</v>
      </c>
      <c r="L346">
        <v>0</v>
      </c>
      <c r="M346">
        <v>79</v>
      </c>
      <c r="N346">
        <v>909</v>
      </c>
      <c r="O346">
        <v>2207</v>
      </c>
      <c r="P346" t="str">
        <f t="shared" si="5"/>
        <v>Weekend</v>
      </c>
    </row>
    <row r="347" spans="1:16" x14ac:dyDescent="0.3">
      <c r="A347">
        <v>6775888955</v>
      </c>
      <c r="B347" s="1">
        <v>42463</v>
      </c>
      <c r="C347">
        <v>1577</v>
      </c>
      <c r="D347" t="s">
        <v>83</v>
      </c>
      <c r="E347" t="s">
        <v>83</v>
      </c>
      <c r="F347">
        <v>0</v>
      </c>
      <c r="G347" t="s">
        <v>311</v>
      </c>
      <c r="H347" t="s">
        <v>166</v>
      </c>
      <c r="I347" t="s">
        <v>120</v>
      </c>
      <c r="J347">
        <v>0</v>
      </c>
      <c r="K347">
        <v>1</v>
      </c>
      <c r="L347">
        <v>17</v>
      </c>
      <c r="M347">
        <v>8</v>
      </c>
      <c r="N347">
        <v>1414</v>
      </c>
      <c r="O347">
        <v>1977</v>
      </c>
      <c r="P347" t="str">
        <f t="shared" si="5"/>
        <v>Weekend</v>
      </c>
    </row>
    <row r="348" spans="1:16" hidden="1" x14ac:dyDescent="0.3">
      <c r="A348">
        <v>6775888955</v>
      </c>
      <c r="B348" s="1">
        <v>42464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1440</v>
      </c>
      <c r="O348">
        <v>1841</v>
      </c>
      <c r="P348" t="str">
        <f t="shared" si="5"/>
        <v>Weekday</v>
      </c>
    </row>
    <row r="349" spans="1:16" x14ac:dyDescent="0.3">
      <c r="A349">
        <v>6775888955</v>
      </c>
      <c r="B349" s="1">
        <v>42465</v>
      </c>
      <c r="C349">
        <v>9348</v>
      </c>
      <c r="D349" t="s">
        <v>459</v>
      </c>
      <c r="E349" t="s">
        <v>459</v>
      </c>
      <c r="F349">
        <v>0</v>
      </c>
      <c r="G349" t="s">
        <v>83</v>
      </c>
      <c r="H349" t="s">
        <v>62</v>
      </c>
      <c r="I349" t="s">
        <v>482</v>
      </c>
      <c r="J349">
        <v>0</v>
      </c>
      <c r="K349">
        <v>56</v>
      </c>
      <c r="L349">
        <v>133</v>
      </c>
      <c r="M349">
        <v>240</v>
      </c>
      <c r="N349">
        <v>1011</v>
      </c>
      <c r="O349">
        <v>4286</v>
      </c>
      <c r="P349" t="str">
        <f t="shared" si="5"/>
        <v>Weekday</v>
      </c>
    </row>
    <row r="350" spans="1:16" x14ac:dyDescent="0.3">
      <c r="A350">
        <v>6775888955</v>
      </c>
      <c r="B350" s="1">
        <v>42466</v>
      </c>
      <c r="C350">
        <v>11761</v>
      </c>
      <c r="D350" t="s">
        <v>483</v>
      </c>
      <c r="E350" t="s">
        <v>483</v>
      </c>
      <c r="F350">
        <v>0</v>
      </c>
      <c r="G350" t="s">
        <v>135</v>
      </c>
      <c r="H350" t="s">
        <v>484</v>
      </c>
      <c r="I350" t="s">
        <v>226</v>
      </c>
      <c r="J350">
        <v>0</v>
      </c>
      <c r="K350">
        <v>24</v>
      </c>
      <c r="L350">
        <v>99</v>
      </c>
      <c r="M350">
        <v>300</v>
      </c>
      <c r="N350">
        <v>550</v>
      </c>
      <c r="O350">
        <v>3920</v>
      </c>
      <c r="P350" t="str">
        <f t="shared" si="5"/>
        <v>Weekday</v>
      </c>
    </row>
    <row r="351" spans="1:16" x14ac:dyDescent="0.3">
      <c r="A351">
        <v>6775888955</v>
      </c>
      <c r="B351" s="1">
        <v>42467</v>
      </c>
      <c r="C351">
        <v>13987</v>
      </c>
      <c r="D351" t="s">
        <v>485</v>
      </c>
      <c r="E351" t="s">
        <v>485</v>
      </c>
      <c r="F351">
        <v>0</v>
      </c>
      <c r="G351" t="s">
        <v>486</v>
      </c>
      <c r="H351" t="s">
        <v>487</v>
      </c>
      <c r="I351" t="s">
        <v>356</v>
      </c>
      <c r="J351">
        <v>0</v>
      </c>
      <c r="K351">
        <v>46</v>
      </c>
      <c r="L351">
        <v>114</v>
      </c>
      <c r="M351">
        <v>250</v>
      </c>
      <c r="N351">
        <v>739</v>
      </c>
      <c r="O351">
        <v>3856</v>
      </c>
      <c r="P351" t="str">
        <f t="shared" si="5"/>
        <v>Weekday</v>
      </c>
    </row>
    <row r="352" spans="1:16" x14ac:dyDescent="0.3">
      <c r="A352">
        <v>6775888955</v>
      </c>
      <c r="B352" s="1">
        <v>42468</v>
      </c>
      <c r="C352">
        <v>4131</v>
      </c>
      <c r="D352" t="s">
        <v>335</v>
      </c>
      <c r="E352" t="s">
        <v>335</v>
      </c>
      <c r="F352">
        <v>0</v>
      </c>
      <c r="G352" t="s">
        <v>461</v>
      </c>
      <c r="H352" t="s">
        <v>140</v>
      </c>
      <c r="I352" t="s">
        <v>171</v>
      </c>
      <c r="J352">
        <v>0</v>
      </c>
      <c r="K352">
        <v>27</v>
      </c>
      <c r="L352">
        <v>30</v>
      </c>
      <c r="M352">
        <v>75</v>
      </c>
      <c r="N352">
        <v>1308</v>
      </c>
      <c r="O352">
        <v>2584</v>
      </c>
      <c r="P352" t="str">
        <f t="shared" si="5"/>
        <v>Weekday</v>
      </c>
    </row>
    <row r="353" spans="1:16" x14ac:dyDescent="0.3">
      <c r="A353">
        <v>6775888955</v>
      </c>
      <c r="B353" s="1">
        <v>42469</v>
      </c>
      <c r="C353">
        <v>14</v>
      </c>
      <c r="D353" t="s">
        <v>84</v>
      </c>
      <c r="E353" t="s">
        <v>84</v>
      </c>
      <c r="F353">
        <v>0</v>
      </c>
      <c r="G353">
        <v>0</v>
      </c>
      <c r="H353">
        <v>0</v>
      </c>
      <c r="I353" t="s">
        <v>84</v>
      </c>
      <c r="J353">
        <v>0</v>
      </c>
      <c r="K353">
        <v>0</v>
      </c>
      <c r="L353">
        <v>0</v>
      </c>
      <c r="M353">
        <v>1</v>
      </c>
      <c r="N353">
        <v>601</v>
      </c>
      <c r="O353">
        <v>787</v>
      </c>
      <c r="P353" t="str">
        <f t="shared" si="5"/>
        <v>Weekend</v>
      </c>
    </row>
    <row r="354" spans="1:16" x14ac:dyDescent="0.3">
      <c r="A354">
        <v>6962181067</v>
      </c>
      <c r="B354" s="1">
        <v>42459</v>
      </c>
      <c r="C354">
        <v>15491</v>
      </c>
      <c r="D354" t="s">
        <v>488</v>
      </c>
      <c r="E354" t="s">
        <v>488</v>
      </c>
      <c r="F354">
        <v>0</v>
      </c>
      <c r="G354" t="s">
        <v>86</v>
      </c>
      <c r="H354" t="s">
        <v>407</v>
      </c>
      <c r="I354" t="s">
        <v>381</v>
      </c>
      <c r="J354">
        <v>0</v>
      </c>
      <c r="K354">
        <v>18</v>
      </c>
      <c r="L354">
        <v>77</v>
      </c>
      <c r="M354">
        <v>272</v>
      </c>
      <c r="N354">
        <v>641</v>
      </c>
      <c r="O354">
        <v>2244</v>
      </c>
      <c r="P354" t="str">
        <f t="shared" si="5"/>
        <v>Weekday</v>
      </c>
    </row>
    <row r="355" spans="1:16" x14ac:dyDescent="0.3">
      <c r="A355">
        <v>6962181067</v>
      </c>
      <c r="B355" s="1">
        <v>42460</v>
      </c>
      <c r="C355">
        <v>14097</v>
      </c>
      <c r="D355" t="s">
        <v>489</v>
      </c>
      <c r="E355" t="s">
        <v>489</v>
      </c>
      <c r="F355">
        <v>0</v>
      </c>
      <c r="G355" s="3">
        <v>46145</v>
      </c>
      <c r="H355" t="s">
        <v>198</v>
      </c>
      <c r="I355" t="s">
        <v>490</v>
      </c>
      <c r="J355">
        <v>0</v>
      </c>
      <c r="K355">
        <v>50</v>
      </c>
      <c r="L355">
        <v>32</v>
      </c>
      <c r="M355">
        <v>234</v>
      </c>
      <c r="N355">
        <v>595</v>
      </c>
      <c r="O355">
        <v>2188</v>
      </c>
      <c r="P355" t="str">
        <f t="shared" si="5"/>
        <v>Weekday</v>
      </c>
    </row>
    <row r="356" spans="1:16" x14ac:dyDescent="0.3">
      <c r="A356">
        <v>6962181067</v>
      </c>
      <c r="B356" s="1">
        <v>42461</v>
      </c>
      <c r="C356">
        <v>10467</v>
      </c>
      <c r="D356" t="s">
        <v>75</v>
      </c>
      <c r="E356" t="s">
        <v>75</v>
      </c>
      <c r="F356">
        <v>0</v>
      </c>
      <c r="G356" t="s">
        <v>55</v>
      </c>
      <c r="H356" t="s">
        <v>491</v>
      </c>
      <c r="I356" t="s">
        <v>337</v>
      </c>
      <c r="J356">
        <v>0</v>
      </c>
      <c r="K356">
        <v>9</v>
      </c>
      <c r="L356">
        <v>45</v>
      </c>
      <c r="M356">
        <v>252</v>
      </c>
      <c r="N356">
        <v>602</v>
      </c>
      <c r="O356">
        <v>2014</v>
      </c>
      <c r="P356" t="str">
        <f t="shared" si="5"/>
        <v>Weekday</v>
      </c>
    </row>
    <row r="357" spans="1:16" x14ac:dyDescent="0.3">
      <c r="A357">
        <v>6962181067</v>
      </c>
      <c r="B357" s="1">
        <v>42462</v>
      </c>
      <c r="C357">
        <v>12437</v>
      </c>
      <c r="D357" t="s">
        <v>460</v>
      </c>
      <c r="E357" t="s">
        <v>460</v>
      </c>
      <c r="F357">
        <v>0</v>
      </c>
      <c r="G357" t="s">
        <v>364</v>
      </c>
      <c r="H357" t="s">
        <v>86</v>
      </c>
      <c r="I357" t="s">
        <v>492</v>
      </c>
      <c r="J357">
        <v>0</v>
      </c>
      <c r="K357">
        <v>50</v>
      </c>
      <c r="L357">
        <v>24</v>
      </c>
      <c r="M357">
        <v>219</v>
      </c>
      <c r="N357">
        <v>732</v>
      </c>
      <c r="O357">
        <v>2115</v>
      </c>
      <c r="P357" t="str">
        <f t="shared" si="5"/>
        <v>Weekend</v>
      </c>
    </row>
    <row r="358" spans="1:16" x14ac:dyDescent="0.3">
      <c r="A358">
        <v>6962181067</v>
      </c>
      <c r="B358" s="1">
        <v>42463</v>
      </c>
      <c r="C358">
        <v>12307</v>
      </c>
      <c r="D358" t="s">
        <v>493</v>
      </c>
      <c r="E358" t="s">
        <v>493</v>
      </c>
      <c r="F358">
        <v>0</v>
      </c>
      <c r="G358" t="s">
        <v>88</v>
      </c>
      <c r="H358" t="s">
        <v>463</v>
      </c>
      <c r="I358" t="s">
        <v>336</v>
      </c>
      <c r="J358">
        <v>0</v>
      </c>
      <c r="K358">
        <v>14</v>
      </c>
      <c r="L358">
        <v>51</v>
      </c>
      <c r="M358">
        <v>218</v>
      </c>
      <c r="N358">
        <v>589</v>
      </c>
      <c r="O358">
        <v>2055</v>
      </c>
      <c r="P358" t="str">
        <f t="shared" si="5"/>
        <v>Weekend</v>
      </c>
    </row>
    <row r="359" spans="1:16" x14ac:dyDescent="0.3">
      <c r="A359">
        <v>6962181067</v>
      </c>
      <c r="B359" s="1">
        <v>42464</v>
      </c>
      <c r="C359">
        <v>18952</v>
      </c>
      <c r="D359" t="s">
        <v>494</v>
      </c>
      <c r="E359" t="s">
        <v>494</v>
      </c>
      <c r="F359">
        <v>0</v>
      </c>
      <c r="G359" t="s">
        <v>495</v>
      </c>
      <c r="H359" t="s">
        <v>222</v>
      </c>
      <c r="I359" t="s">
        <v>382</v>
      </c>
      <c r="J359">
        <v>0</v>
      </c>
      <c r="K359">
        <v>73</v>
      </c>
      <c r="L359">
        <v>20</v>
      </c>
      <c r="M359">
        <v>327</v>
      </c>
      <c r="N359">
        <v>570</v>
      </c>
      <c r="O359">
        <v>2437</v>
      </c>
      <c r="P359" t="str">
        <f t="shared" si="5"/>
        <v>Weekday</v>
      </c>
    </row>
    <row r="360" spans="1:16" x14ac:dyDescent="0.3">
      <c r="A360">
        <v>6962181067</v>
      </c>
      <c r="B360" s="1">
        <v>42465</v>
      </c>
      <c r="C360">
        <v>12010</v>
      </c>
      <c r="D360" t="s">
        <v>68</v>
      </c>
      <c r="E360" t="s">
        <v>68</v>
      </c>
      <c r="F360">
        <v>0</v>
      </c>
      <c r="G360" t="s">
        <v>496</v>
      </c>
      <c r="H360" t="s">
        <v>345</v>
      </c>
      <c r="I360" t="s">
        <v>34</v>
      </c>
      <c r="J360">
        <v>0</v>
      </c>
      <c r="K360">
        <v>38</v>
      </c>
      <c r="L360">
        <v>17</v>
      </c>
      <c r="M360">
        <v>287</v>
      </c>
      <c r="N360">
        <v>692</v>
      </c>
      <c r="O360">
        <v>2158</v>
      </c>
      <c r="P360" t="str">
        <f t="shared" si="5"/>
        <v>Weekday</v>
      </c>
    </row>
    <row r="361" spans="1:16" x14ac:dyDescent="0.3">
      <c r="A361">
        <v>6962181067</v>
      </c>
      <c r="B361" s="1">
        <v>42466</v>
      </c>
      <c r="C361">
        <v>12480</v>
      </c>
      <c r="D361" t="s">
        <v>497</v>
      </c>
      <c r="E361" s="2">
        <v>45870</v>
      </c>
      <c r="F361" t="s">
        <v>498</v>
      </c>
      <c r="G361" t="s">
        <v>52</v>
      </c>
      <c r="H361" t="s">
        <v>254</v>
      </c>
      <c r="I361">
        <v>4</v>
      </c>
      <c r="J361">
        <v>0</v>
      </c>
      <c r="K361">
        <v>55</v>
      </c>
      <c r="L361">
        <v>14</v>
      </c>
      <c r="M361">
        <v>276</v>
      </c>
      <c r="N361">
        <v>593</v>
      </c>
      <c r="O361">
        <v>2170</v>
      </c>
      <c r="P361" t="str">
        <f t="shared" si="5"/>
        <v>Weekday</v>
      </c>
    </row>
    <row r="362" spans="1:16" x14ac:dyDescent="0.3">
      <c r="A362">
        <v>6962181067</v>
      </c>
      <c r="B362" s="1">
        <v>42467</v>
      </c>
      <c r="C362">
        <v>13417</v>
      </c>
      <c r="D362" t="s">
        <v>499</v>
      </c>
      <c r="E362" t="s">
        <v>500</v>
      </c>
      <c r="F362" t="s">
        <v>501</v>
      </c>
      <c r="G362" t="s">
        <v>54</v>
      </c>
      <c r="H362" s="2">
        <v>45658</v>
      </c>
      <c r="I362" t="s">
        <v>288</v>
      </c>
      <c r="J362" t="s">
        <v>398</v>
      </c>
      <c r="K362">
        <v>45</v>
      </c>
      <c r="L362">
        <v>16</v>
      </c>
      <c r="M362">
        <v>284</v>
      </c>
      <c r="N362">
        <v>665</v>
      </c>
      <c r="O362">
        <v>2244</v>
      </c>
      <c r="P362" t="str">
        <f t="shared" si="5"/>
        <v>Weekday</v>
      </c>
    </row>
    <row r="363" spans="1:16" x14ac:dyDescent="0.3">
      <c r="A363">
        <v>6962181067</v>
      </c>
      <c r="B363" s="1">
        <v>42468</v>
      </c>
      <c r="C363">
        <v>14400</v>
      </c>
      <c r="D363" t="s">
        <v>502</v>
      </c>
      <c r="E363" t="s">
        <v>503</v>
      </c>
      <c r="F363" t="s">
        <v>504</v>
      </c>
      <c r="G363" t="s">
        <v>505</v>
      </c>
      <c r="H363" t="s">
        <v>458</v>
      </c>
      <c r="I363" t="s">
        <v>307</v>
      </c>
      <c r="J363">
        <v>0</v>
      </c>
      <c r="K363">
        <v>27</v>
      </c>
      <c r="L363">
        <v>37</v>
      </c>
      <c r="M363">
        <v>276</v>
      </c>
      <c r="N363">
        <v>697</v>
      </c>
      <c r="O363">
        <v>2188</v>
      </c>
      <c r="P363" t="str">
        <f t="shared" si="5"/>
        <v>Weekday</v>
      </c>
    </row>
    <row r="364" spans="1:16" x14ac:dyDescent="0.3">
      <c r="A364">
        <v>6962181067</v>
      </c>
      <c r="B364" s="1">
        <v>42469</v>
      </c>
      <c r="C364">
        <v>12495</v>
      </c>
      <c r="D364" t="s">
        <v>506</v>
      </c>
      <c r="E364" t="s">
        <v>506</v>
      </c>
      <c r="F364">
        <v>0</v>
      </c>
      <c r="G364" t="s">
        <v>152</v>
      </c>
      <c r="H364" t="s">
        <v>33</v>
      </c>
      <c r="I364" t="s">
        <v>507</v>
      </c>
      <c r="J364">
        <v>0</v>
      </c>
      <c r="K364">
        <v>33</v>
      </c>
      <c r="L364">
        <v>19</v>
      </c>
      <c r="M364">
        <v>324</v>
      </c>
      <c r="N364">
        <v>609</v>
      </c>
      <c r="O364">
        <v>2231</v>
      </c>
      <c r="P364" t="str">
        <f t="shared" si="5"/>
        <v>Weekend</v>
      </c>
    </row>
    <row r="365" spans="1:16" x14ac:dyDescent="0.3">
      <c r="A365">
        <v>6962181067</v>
      </c>
      <c r="B365" s="1">
        <v>42470</v>
      </c>
      <c r="C365">
        <v>10148</v>
      </c>
      <c r="D365" t="s">
        <v>508</v>
      </c>
      <c r="E365" t="s">
        <v>508</v>
      </c>
      <c r="F365">
        <v>0</v>
      </c>
      <c r="G365" t="s">
        <v>509</v>
      </c>
      <c r="H365" t="s">
        <v>190</v>
      </c>
      <c r="I365" t="s">
        <v>245</v>
      </c>
      <c r="J365">
        <v>0</v>
      </c>
      <c r="K365">
        <v>19</v>
      </c>
      <c r="L365">
        <v>7</v>
      </c>
      <c r="M365">
        <v>306</v>
      </c>
      <c r="N365">
        <v>679</v>
      </c>
      <c r="O365">
        <v>2100</v>
      </c>
      <c r="P365" t="str">
        <f t="shared" si="5"/>
        <v>Weekend</v>
      </c>
    </row>
    <row r="366" spans="1:16" x14ac:dyDescent="0.3">
      <c r="A366">
        <v>6962181067</v>
      </c>
      <c r="B366" s="1">
        <v>42471</v>
      </c>
      <c r="C366">
        <v>12362</v>
      </c>
      <c r="D366" t="s">
        <v>510</v>
      </c>
      <c r="E366" t="s">
        <v>511</v>
      </c>
      <c r="F366" t="s">
        <v>512</v>
      </c>
      <c r="G366" t="s">
        <v>33</v>
      </c>
      <c r="H366" t="s">
        <v>513</v>
      </c>
      <c r="I366" t="s">
        <v>389</v>
      </c>
      <c r="J366">
        <v>0</v>
      </c>
      <c r="K366">
        <v>21</v>
      </c>
      <c r="L366">
        <v>38</v>
      </c>
      <c r="M366">
        <v>297</v>
      </c>
      <c r="N366">
        <v>678</v>
      </c>
      <c r="O366">
        <v>2188</v>
      </c>
      <c r="P366" t="str">
        <f t="shared" si="5"/>
        <v>Weekday</v>
      </c>
    </row>
    <row r="367" spans="1:16" x14ac:dyDescent="0.3">
      <c r="A367">
        <v>6962181067</v>
      </c>
      <c r="B367" s="1">
        <v>42472</v>
      </c>
      <c r="C367">
        <v>5893</v>
      </c>
      <c r="D367" t="s">
        <v>490</v>
      </c>
      <c r="E367" t="s">
        <v>490</v>
      </c>
      <c r="F367">
        <v>0</v>
      </c>
      <c r="G367" t="s">
        <v>458</v>
      </c>
      <c r="H367" t="s">
        <v>179</v>
      </c>
      <c r="I367" t="s">
        <v>17</v>
      </c>
      <c r="J367">
        <v>0</v>
      </c>
      <c r="K367">
        <v>43</v>
      </c>
      <c r="L367">
        <v>9</v>
      </c>
      <c r="M367">
        <v>48</v>
      </c>
      <c r="N367">
        <v>146</v>
      </c>
      <c r="O367">
        <v>917</v>
      </c>
      <c r="P367" t="str">
        <f t="shared" si="5"/>
        <v>Weekday</v>
      </c>
    </row>
    <row r="368" spans="1:16" x14ac:dyDescent="0.3">
      <c r="A368">
        <v>7007744171</v>
      </c>
      <c r="B368" s="1">
        <v>42461</v>
      </c>
      <c r="C368">
        <v>11680</v>
      </c>
      <c r="D368" t="s">
        <v>514</v>
      </c>
      <c r="E368" t="s">
        <v>515</v>
      </c>
      <c r="F368" t="s">
        <v>516</v>
      </c>
      <c r="G368" t="s">
        <v>407</v>
      </c>
      <c r="H368" t="s">
        <v>241</v>
      </c>
      <c r="I368" t="s">
        <v>517</v>
      </c>
      <c r="J368">
        <v>0</v>
      </c>
      <c r="K368">
        <v>50</v>
      </c>
      <c r="L368">
        <v>7</v>
      </c>
      <c r="M368">
        <v>244</v>
      </c>
      <c r="N368">
        <v>1139</v>
      </c>
      <c r="O368">
        <v>2573</v>
      </c>
      <c r="P368" t="str">
        <f t="shared" si="5"/>
        <v>Weekday</v>
      </c>
    </row>
    <row r="369" spans="1:16" x14ac:dyDescent="0.3">
      <c r="A369">
        <v>7007744171</v>
      </c>
      <c r="B369" s="1">
        <v>42462</v>
      </c>
      <c r="C369">
        <v>10976</v>
      </c>
      <c r="D369" t="s">
        <v>227</v>
      </c>
      <c r="E369" t="s">
        <v>227</v>
      </c>
      <c r="F369">
        <v>0</v>
      </c>
      <c r="G369" t="s">
        <v>362</v>
      </c>
      <c r="H369" t="s">
        <v>453</v>
      </c>
      <c r="I369" t="s">
        <v>518</v>
      </c>
      <c r="J369">
        <v>0</v>
      </c>
      <c r="K369">
        <v>9</v>
      </c>
      <c r="L369">
        <v>16</v>
      </c>
      <c r="M369">
        <v>271</v>
      </c>
      <c r="N369">
        <v>1075</v>
      </c>
      <c r="O369">
        <v>2575</v>
      </c>
      <c r="P369" t="str">
        <f t="shared" si="5"/>
        <v>Weekend</v>
      </c>
    </row>
    <row r="370" spans="1:16" x14ac:dyDescent="0.3">
      <c r="A370">
        <v>7007744171</v>
      </c>
      <c r="B370" s="1">
        <v>42463</v>
      </c>
      <c r="C370">
        <v>16806</v>
      </c>
      <c r="D370" t="s">
        <v>519</v>
      </c>
      <c r="E370" t="s">
        <v>519</v>
      </c>
      <c r="F370">
        <v>0</v>
      </c>
      <c r="G370" t="s">
        <v>322</v>
      </c>
      <c r="H370" t="s">
        <v>461</v>
      </c>
      <c r="I370" t="s">
        <v>520</v>
      </c>
      <c r="J370">
        <v>0</v>
      </c>
      <c r="K370">
        <v>104</v>
      </c>
      <c r="L370">
        <v>31</v>
      </c>
      <c r="M370">
        <v>230</v>
      </c>
      <c r="N370">
        <v>1002</v>
      </c>
      <c r="O370">
        <v>3086</v>
      </c>
      <c r="P370" t="str">
        <f t="shared" si="5"/>
        <v>Weekend</v>
      </c>
    </row>
    <row r="371" spans="1:16" x14ac:dyDescent="0.3">
      <c r="A371">
        <v>7007744171</v>
      </c>
      <c r="B371" s="1">
        <v>42464</v>
      </c>
      <c r="C371">
        <v>15266</v>
      </c>
      <c r="D371" t="s">
        <v>521</v>
      </c>
      <c r="E371" t="s">
        <v>522</v>
      </c>
      <c r="F371" t="s">
        <v>523</v>
      </c>
      <c r="G371" t="s">
        <v>524</v>
      </c>
      <c r="H371" t="s">
        <v>59</v>
      </c>
      <c r="I371" t="s">
        <v>525</v>
      </c>
      <c r="J371" t="s">
        <v>333</v>
      </c>
      <c r="K371">
        <v>70</v>
      </c>
      <c r="L371">
        <v>21</v>
      </c>
      <c r="M371">
        <v>292</v>
      </c>
      <c r="N371">
        <v>1057</v>
      </c>
      <c r="O371">
        <v>2886</v>
      </c>
      <c r="P371" t="str">
        <f t="shared" si="5"/>
        <v>Weekday</v>
      </c>
    </row>
    <row r="372" spans="1:16" x14ac:dyDescent="0.3">
      <c r="A372">
        <v>7007744171</v>
      </c>
      <c r="B372" s="1">
        <v>42465</v>
      </c>
      <c r="C372">
        <v>12084</v>
      </c>
      <c r="D372" t="s">
        <v>526</v>
      </c>
      <c r="E372" t="s">
        <v>527</v>
      </c>
      <c r="F372" t="s">
        <v>528</v>
      </c>
      <c r="G372" t="s">
        <v>276</v>
      </c>
      <c r="H372" t="s">
        <v>17</v>
      </c>
      <c r="I372" t="s">
        <v>38</v>
      </c>
      <c r="J372">
        <v>0</v>
      </c>
      <c r="K372">
        <v>50</v>
      </c>
      <c r="L372">
        <v>6</v>
      </c>
      <c r="M372">
        <v>284</v>
      </c>
      <c r="N372">
        <v>1030</v>
      </c>
      <c r="O372">
        <v>2676</v>
      </c>
      <c r="P372" t="str">
        <f t="shared" si="5"/>
        <v>Weekday</v>
      </c>
    </row>
    <row r="373" spans="1:16" x14ac:dyDescent="0.3">
      <c r="A373">
        <v>7007744171</v>
      </c>
      <c r="B373" s="1">
        <v>42466</v>
      </c>
      <c r="C373">
        <v>13513</v>
      </c>
      <c r="D373" s="2">
        <v>45931</v>
      </c>
      <c r="E373" t="s">
        <v>529</v>
      </c>
      <c r="F373" t="s">
        <v>530</v>
      </c>
      <c r="G373" t="s">
        <v>415</v>
      </c>
      <c r="H373" t="s">
        <v>241</v>
      </c>
      <c r="I373" t="s">
        <v>531</v>
      </c>
      <c r="J373">
        <v>0</v>
      </c>
      <c r="K373">
        <v>64</v>
      </c>
      <c r="L373">
        <v>8</v>
      </c>
      <c r="M373">
        <v>270</v>
      </c>
      <c r="N373">
        <v>1098</v>
      </c>
      <c r="O373">
        <v>2811</v>
      </c>
      <c r="P373" t="str">
        <f t="shared" si="5"/>
        <v>Weekday</v>
      </c>
    </row>
    <row r="374" spans="1:16" x14ac:dyDescent="0.3">
      <c r="A374">
        <v>7007744171</v>
      </c>
      <c r="B374" s="1">
        <v>42467</v>
      </c>
      <c r="C374">
        <v>14100</v>
      </c>
      <c r="D374" t="s">
        <v>532</v>
      </c>
      <c r="E374" t="s">
        <v>533</v>
      </c>
      <c r="F374" t="s">
        <v>534</v>
      </c>
      <c r="G374" t="s">
        <v>279</v>
      </c>
      <c r="H374" t="s">
        <v>535</v>
      </c>
      <c r="I374" t="s">
        <v>536</v>
      </c>
      <c r="J374">
        <v>0</v>
      </c>
      <c r="K374">
        <v>61</v>
      </c>
      <c r="L374">
        <v>33</v>
      </c>
      <c r="M374">
        <v>265</v>
      </c>
      <c r="N374">
        <v>1015</v>
      </c>
      <c r="O374">
        <v>2840</v>
      </c>
      <c r="P374" t="str">
        <f t="shared" si="5"/>
        <v>Weekday</v>
      </c>
    </row>
    <row r="375" spans="1:16" x14ac:dyDescent="0.3">
      <c r="A375">
        <v>7007744171</v>
      </c>
      <c r="B375" s="1">
        <v>42468</v>
      </c>
      <c r="C375">
        <v>12627</v>
      </c>
      <c r="D375" t="s">
        <v>499</v>
      </c>
      <c r="E375" t="s">
        <v>537</v>
      </c>
      <c r="F375" t="s">
        <v>538</v>
      </c>
      <c r="G375" t="s">
        <v>539</v>
      </c>
      <c r="H375" t="s">
        <v>540</v>
      </c>
      <c r="I375" t="s">
        <v>541</v>
      </c>
      <c r="J375">
        <v>0</v>
      </c>
      <c r="K375">
        <v>54</v>
      </c>
      <c r="L375">
        <v>22</v>
      </c>
      <c r="M375">
        <v>301</v>
      </c>
      <c r="N375">
        <v>1063</v>
      </c>
      <c r="O375">
        <v>2871</v>
      </c>
      <c r="P375" t="str">
        <f t="shared" si="5"/>
        <v>Weekday</v>
      </c>
    </row>
    <row r="376" spans="1:16" x14ac:dyDescent="0.3">
      <c r="A376">
        <v>7007744171</v>
      </c>
      <c r="B376" s="1">
        <v>42469</v>
      </c>
      <c r="C376">
        <v>10345</v>
      </c>
      <c r="D376" t="s">
        <v>20</v>
      </c>
      <c r="E376" t="s">
        <v>20</v>
      </c>
      <c r="F376">
        <v>0</v>
      </c>
      <c r="G376" t="s">
        <v>311</v>
      </c>
      <c r="H376" t="s">
        <v>90</v>
      </c>
      <c r="I376" t="s">
        <v>542</v>
      </c>
      <c r="J376">
        <v>0</v>
      </c>
      <c r="K376">
        <v>2</v>
      </c>
      <c r="L376">
        <v>6</v>
      </c>
      <c r="M376">
        <v>358</v>
      </c>
      <c r="N376">
        <v>1074</v>
      </c>
      <c r="O376">
        <v>2613</v>
      </c>
      <c r="P376" t="str">
        <f t="shared" si="5"/>
        <v>Weekend</v>
      </c>
    </row>
    <row r="377" spans="1:16" x14ac:dyDescent="0.3">
      <c r="A377">
        <v>7007744171</v>
      </c>
      <c r="B377" s="1">
        <v>42470</v>
      </c>
      <c r="C377">
        <v>10146</v>
      </c>
      <c r="D377" t="s">
        <v>209</v>
      </c>
      <c r="E377" t="s">
        <v>209</v>
      </c>
      <c r="F377">
        <v>0</v>
      </c>
      <c r="G377" t="s">
        <v>311</v>
      </c>
      <c r="H377" t="s">
        <v>140</v>
      </c>
      <c r="I377" t="s">
        <v>543</v>
      </c>
      <c r="J377">
        <v>0</v>
      </c>
      <c r="K377">
        <v>1</v>
      </c>
      <c r="L377">
        <v>12</v>
      </c>
      <c r="M377">
        <v>397</v>
      </c>
      <c r="N377">
        <v>1030</v>
      </c>
      <c r="O377">
        <v>2700</v>
      </c>
      <c r="P377" t="str">
        <f t="shared" si="5"/>
        <v>Weekend</v>
      </c>
    </row>
    <row r="378" spans="1:16" x14ac:dyDescent="0.3">
      <c r="A378">
        <v>7007744171</v>
      </c>
      <c r="B378" s="1">
        <v>42471</v>
      </c>
      <c r="C378">
        <v>12168</v>
      </c>
      <c r="D378" t="s">
        <v>493</v>
      </c>
      <c r="E378" t="s">
        <v>493</v>
      </c>
      <c r="F378">
        <v>0</v>
      </c>
      <c r="G378" t="s">
        <v>184</v>
      </c>
      <c r="H378" t="s">
        <v>29</v>
      </c>
      <c r="I378" t="s">
        <v>326</v>
      </c>
      <c r="J378">
        <v>0</v>
      </c>
      <c r="K378">
        <v>18</v>
      </c>
      <c r="L378">
        <v>27</v>
      </c>
      <c r="M378">
        <v>375</v>
      </c>
      <c r="N378">
        <v>1020</v>
      </c>
      <c r="O378">
        <v>2871</v>
      </c>
      <c r="P378" t="str">
        <f t="shared" si="5"/>
        <v>Weekday</v>
      </c>
    </row>
    <row r="379" spans="1:16" x14ac:dyDescent="0.3">
      <c r="A379">
        <v>7007744171</v>
      </c>
      <c r="B379" s="1">
        <v>42472</v>
      </c>
      <c r="C379">
        <v>7413</v>
      </c>
      <c r="D379" t="s">
        <v>544</v>
      </c>
      <c r="E379" t="s">
        <v>507</v>
      </c>
      <c r="F379" t="s">
        <v>545</v>
      </c>
      <c r="G379" s="3">
        <v>46146</v>
      </c>
      <c r="H379" t="s">
        <v>123</v>
      </c>
      <c r="I379" t="s">
        <v>309</v>
      </c>
      <c r="J379">
        <v>0</v>
      </c>
      <c r="K379">
        <v>53</v>
      </c>
      <c r="L379">
        <v>6</v>
      </c>
      <c r="M379">
        <v>43</v>
      </c>
      <c r="N379">
        <v>405</v>
      </c>
      <c r="O379">
        <v>1023</v>
      </c>
      <c r="P379" t="str">
        <f t="shared" si="5"/>
        <v>Weekday</v>
      </c>
    </row>
    <row r="380" spans="1:16" x14ac:dyDescent="0.3">
      <c r="A380">
        <v>7086361926</v>
      </c>
      <c r="B380" s="1">
        <v>42461</v>
      </c>
      <c r="C380">
        <v>11463</v>
      </c>
      <c r="D380" t="s">
        <v>61</v>
      </c>
      <c r="E380" t="s">
        <v>61</v>
      </c>
      <c r="F380">
        <v>0</v>
      </c>
      <c r="G380" t="s">
        <v>546</v>
      </c>
      <c r="H380" t="s">
        <v>94</v>
      </c>
      <c r="I380" t="s">
        <v>89</v>
      </c>
      <c r="J380">
        <v>0</v>
      </c>
      <c r="K380">
        <v>38</v>
      </c>
      <c r="L380">
        <v>30</v>
      </c>
      <c r="M380">
        <v>154</v>
      </c>
      <c r="N380">
        <v>777</v>
      </c>
      <c r="O380">
        <v>2496</v>
      </c>
      <c r="P380" t="str">
        <f t="shared" si="5"/>
        <v>Weekday</v>
      </c>
    </row>
    <row r="381" spans="1:16" x14ac:dyDescent="0.3">
      <c r="A381">
        <v>7086361926</v>
      </c>
      <c r="B381" s="1">
        <v>42462</v>
      </c>
      <c r="C381">
        <v>87</v>
      </c>
      <c r="D381" t="s">
        <v>159</v>
      </c>
      <c r="E381" t="s">
        <v>159</v>
      </c>
      <c r="F381">
        <v>0</v>
      </c>
      <c r="G381">
        <v>0</v>
      </c>
      <c r="H381">
        <v>0</v>
      </c>
      <c r="I381" t="s">
        <v>84</v>
      </c>
      <c r="J381">
        <v>0</v>
      </c>
      <c r="K381">
        <v>0</v>
      </c>
      <c r="L381">
        <v>0</v>
      </c>
      <c r="M381">
        <v>2</v>
      </c>
      <c r="N381">
        <v>872</v>
      </c>
      <c r="O381">
        <v>1641</v>
      </c>
      <c r="P381" t="str">
        <f t="shared" si="5"/>
        <v>Weekend</v>
      </c>
    </row>
    <row r="382" spans="1:16" x14ac:dyDescent="0.3">
      <c r="A382">
        <v>7086361926</v>
      </c>
      <c r="B382" s="1">
        <v>42463</v>
      </c>
      <c r="C382">
        <v>1949</v>
      </c>
      <c r="D382" t="s">
        <v>135</v>
      </c>
      <c r="E382" t="s">
        <v>135</v>
      </c>
      <c r="F382">
        <v>0</v>
      </c>
      <c r="G382" t="s">
        <v>374</v>
      </c>
      <c r="H382" t="s">
        <v>233</v>
      </c>
      <c r="I382" t="s">
        <v>21</v>
      </c>
      <c r="J382">
        <v>0</v>
      </c>
      <c r="K382">
        <v>3</v>
      </c>
      <c r="L382">
        <v>6</v>
      </c>
      <c r="M382">
        <v>27</v>
      </c>
      <c r="N382">
        <v>1404</v>
      </c>
      <c r="O382">
        <v>1794</v>
      </c>
      <c r="P382" t="str">
        <f t="shared" si="5"/>
        <v>Weekend</v>
      </c>
    </row>
    <row r="383" spans="1:16" x14ac:dyDescent="0.3">
      <c r="A383">
        <v>7086361926</v>
      </c>
      <c r="B383" s="1">
        <v>42464</v>
      </c>
      <c r="C383">
        <v>6101</v>
      </c>
      <c r="D383" t="s">
        <v>336</v>
      </c>
      <c r="E383" t="s">
        <v>336</v>
      </c>
      <c r="F383">
        <v>0</v>
      </c>
      <c r="G383" t="s">
        <v>85</v>
      </c>
      <c r="H383" t="s">
        <v>374</v>
      </c>
      <c r="I383" t="s">
        <v>340</v>
      </c>
      <c r="J383">
        <v>0</v>
      </c>
      <c r="K383">
        <v>31</v>
      </c>
      <c r="L383">
        <v>24</v>
      </c>
      <c r="M383">
        <v>138</v>
      </c>
      <c r="N383">
        <v>1247</v>
      </c>
      <c r="O383">
        <v>2421</v>
      </c>
      <c r="P383" t="str">
        <f t="shared" si="5"/>
        <v>Weekday</v>
      </c>
    </row>
    <row r="384" spans="1:16" x14ac:dyDescent="0.3">
      <c r="A384">
        <v>7086361926</v>
      </c>
      <c r="B384" s="1">
        <v>42465</v>
      </c>
      <c r="C384">
        <v>7478</v>
      </c>
      <c r="D384" t="s">
        <v>547</v>
      </c>
      <c r="E384" t="s">
        <v>547</v>
      </c>
      <c r="F384">
        <v>0</v>
      </c>
      <c r="G384" t="s">
        <v>548</v>
      </c>
      <c r="H384" t="s">
        <v>85</v>
      </c>
      <c r="I384" t="s">
        <v>549</v>
      </c>
      <c r="J384" t="s">
        <v>102</v>
      </c>
      <c r="K384">
        <v>25</v>
      </c>
      <c r="L384">
        <v>33</v>
      </c>
      <c r="M384">
        <v>132</v>
      </c>
      <c r="N384">
        <v>1159</v>
      </c>
      <c r="O384">
        <v>2439</v>
      </c>
      <c r="P384" t="str">
        <f t="shared" si="5"/>
        <v>Weekday</v>
      </c>
    </row>
    <row r="385" spans="1:16" x14ac:dyDescent="0.3">
      <c r="A385">
        <v>7086361926</v>
      </c>
      <c r="B385" s="1">
        <v>42466</v>
      </c>
      <c r="C385">
        <v>7352</v>
      </c>
      <c r="D385" t="s">
        <v>550</v>
      </c>
      <c r="E385" t="s">
        <v>550</v>
      </c>
      <c r="F385">
        <v>0</v>
      </c>
      <c r="G385" t="s">
        <v>208</v>
      </c>
      <c r="H385" t="s">
        <v>109</v>
      </c>
      <c r="I385" t="s">
        <v>397</v>
      </c>
      <c r="J385">
        <v>0</v>
      </c>
      <c r="K385">
        <v>19</v>
      </c>
      <c r="L385">
        <v>14</v>
      </c>
      <c r="M385">
        <v>124</v>
      </c>
      <c r="N385">
        <v>814</v>
      </c>
      <c r="O385">
        <v>2233</v>
      </c>
      <c r="P385" t="str">
        <f t="shared" si="5"/>
        <v>Weekday</v>
      </c>
    </row>
    <row r="386" spans="1:16" x14ac:dyDescent="0.3">
      <c r="A386">
        <v>7086361926</v>
      </c>
      <c r="B386" s="1">
        <v>42467</v>
      </c>
      <c r="C386">
        <v>14604</v>
      </c>
      <c r="D386" t="s">
        <v>551</v>
      </c>
      <c r="E386" t="s">
        <v>551</v>
      </c>
      <c r="F386">
        <v>0</v>
      </c>
      <c r="G386" t="s">
        <v>552</v>
      </c>
      <c r="H386" t="s">
        <v>553</v>
      </c>
      <c r="I386" t="s">
        <v>491</v>
      </c>
      <c r="J386" t="s">
        <v>102</v>
      </c>
      <c r="K386">
        <v>76</v>
      </c>
      <c r="L386">
        <v>30</v>
      </c>
      <c r="M386">
        <v>127</v>
      </c>
      <c r="N386">
        <v>695</v>
      </c>
      <c r="O386">
        <v>2862</v>
      </c>
      <c r="P386" t="str">
        <f t="shared" si="5"/>
        <v>Weekday</v>
      </c>
    </row>
    <row r="387" spans="1:16" x14ac:dyDescent="0.3">
      <c r="A387">
        <v>7086361926</v>
      </c>
      <c r="B387" s="1">
        <v>42468</v>
      </c>
      <c r="C387">
        <v>9634</v>
      </c>
      <c r="D387" t="s">
        <v>554</v>
      </c>
      <c r="E387" t="s">
        <v>554</v>
      </c>
      <c r="F387">
        <v>0</v>
      </c>
      <c r="G387" s="3">
        <v>46144</v>
      </c>
      <c r="H387" t="s">
        <v>555</v>
      </c>
      <c r="I387" t="s">
        <v>72</v>
      </c>
      <c r="J387">
        <v>0</v>
      </c>
      <c r="K387">
        <v>50</v>
      </c>
      <c r="L387">
        <v>48</v>
      </c>
      <c r="M387">
        <v>140</v>
      </c>
      <c r="N387">
        <v>797</v>
      </c>
      <c r="O387">
        <v>2752</v>
      </c>
      <c r="P387" t="str">
        <f t="shared" ref="P387:P450" si="6">IF(OR(WEEKDAY(B387,2)=6, WEEKDAY(B387,2)=7),"Weekend","Weekday")</f>
        <v>Weekday</v>
      </c>
    </row>
    <row r="388" spans="1:16" x14ac:dyDescent="0.3">
      <c r="A388">
        <v>7086361926</v>
      </c>
      <c r="B388" s="1">
        <v>42469</v>
      </c>
      <c r="C388">
        <v>7338</v>
      </c>
      <c r="D388" t="s">
        <v>414</v>
      </c>
      <c r="E388" t="s">
        <v>414</v>
      </c>
      <c r="F388">
        <v>0</v>
      </c>
      <c r="G388" t="s">
        <v>556</v>
      </c>
      <c r="H388" t="s">
        <v>81</v>
      </c>
      <c r="I388" t="s">
        <v>557</v>
      </c>
      <c r="J388">
        <v>0</v>
      </c>
      <c r="K388">
        <v>27</v>
      </c>
      <c r="L388">
        <v>5</v>
      </c>
      <c r="M388">
        <v>204</v>
      </c>
      <c r="N388">
        <v>717</v>
      </c>
      <c r="O388">
        <v>2519</v>
      </c>
      <c r="P388" t="str">
        <f t="shared" si="6"/>
        <v>Weekend</v>
      </c>
    </row>
    <row r="389" spans="1:16" x14ac:dyDescent="0.3">
      <c r="A389">
        <v>7086361926</v>
      </c>
      <c r="B389" s="1">
        <v>42470</v>
      </c>
      <c r="C389">
        <v>569</v>
      </c>
      <c r="D389" t="s">
        <v>233</v>
      </c>
      <c r="E389" t="s">
        <v>233</v>
      </c>
      <c r="F389">
        <v>0</v>
      </c>
      <c r="G389">
        <v>0</v>
      </c>
      <c r="H389">
        <v>0</v>
      </c>
      <c r="I389" t="s">
        <v>123</v>
      </c>
      <c r="J389">
        <v>0</v>
      </c>
      <c r="K389">
        <v>0</v>
      </c>
      <c r="L389">
        <v>0</v>
      </c>
      <c r="M389">
        <v>27</v>
      </c>
      <c r="N389">
        <v>1368</v>
      </c>
      <c r="O389">
        <v>1799</v>
      </c>
      <c r="P389" t="str">
        <f t="shared" si="6"/>
        <v>Weekend</v>
      </c>
    </row>
    <row r="390" spans="1:16" x14ac:dyDescent="0.3">
      <c r="A390">
        <v>7086361926</v>
      </c>
      <c r="B390" s="1">
        <v>42471</v>
      </c>
      <c r="C390">
        <v>6242</v>
      </c>
      <c r="D390" t="s">
        <v>151</v>
      </c>
      <c r="E390" t="s">
        <v>151</v>
      </c>
      <c r="F390">
        <v>0</v>
      </c>
      <c r="G390" t="s">
        <v>540</v>
      </c>
      <c r="H390" t="s">
        <v>374</v>
      </c>
      <c r="I390" t="s">
        <v>89</v>
      </c>
      <c r="J390">
        <v>0</v>
      </c>
      <c r="K390">
        <v>46</v>
      </c>
      <c r="L390">
        <v>22</v>
      </c>
      <c r="M390">
        <v>126</v>
      </c>
      <c r="N390">
        <v>741</v>
      </c>
      <c r="O390">
        <v>2543</v>
      </c>
      <c r="P390" t="str">
        <f t="shared" si="6"/>
        <v>Weekday</v>
      </c>
    </row>
    <row r="391" spans="1:16" x14ac:dyDescent="0.3">
      <c r="A391">
        <v>7086361926</v>
      </c>
      <c r="B391" s="1">
        <v>42472</v>
      </c>
      <c r="C391">
        <v>430</v>
      </c>
      <c r="D391" t="s">
        <v>323</v>
      </c>
      <c r="E391" t="s">
        <v>323</v>
      </c>
      <c r="F391">
        <v>0</v>
      </c>
      <c r="G391">
        <v>0</v>
      </c>
      <c r="H391">
        <v>0</v>
      </c>
      <c r="I391" t="s">
        <v>323</v>
      </c>
      <c r="J391">
        <v>0</v>
      </c>
      <c r="K391">
        <v>0</v>
      </c>
      <c r="L391">
        <v>0</v>
      </c>
      <c r="M391">
        <v>14</v>
      </c>
      <c r="N391">
        <v>75</v>
      </c>
      <c r="O391">
        <v>625</v>
      </c>
      <c r="P391" t="str">
        <f t="shared" si="6"/>
        <v>Weekday</v>
      </c>
    </row>
    <row r="392" spans="1:16" x14ac:dyDescent="0.3">
      <c r="A392">
        <v>8053475328</v>
      </c>
      <c r="B392" s="1">
        <v>42462</v>
      </c>
      <c r="C392">
        <v>20188</v>
      </c>
      <c r="D392" t="s">
        <v>558</v>
      </c>
      <c r="E392" t="s">
        <v>558</v>
      </c>
      <c r="F392">
        <v>0</v>
      </c>
      <c r="G392" t="s">
        <v>559</v>
      </c>
      <c r="H392" t="s">
        <v>380</v>
      </c>
      <c r="I392" t="s">
        <v>560</v>
      </c>
      <c r="J392">
        <v>0</v>
      </c>
      <c r="K392">
        <v>124</v>
      </c>
      <c r="L392">
        <v>19</v>
      </c>
      <c r="M392">
        <v>172</v>
      </c>
      <c r="N392">
        <v>1125</v>
      </c>
      <c r="O392">
        <v>3377</v>
      </c>
      <c r="P392" t="str">
        <f t="shared" si="6"/>
        <v>Weekend</v>
      </c>
    </row>
    <row r="393" spans="1:16" x14ac:dyDescent="0.3">
      <c r="A393">
        <v>8053475328</v>
      </c>
      <c r="B393" s="1">
        <v>42463</v>
      </c>
      <c r="C393">
        <v>25701</v>
      </c>
      <c r="D393" t="s">
        <v>561</v>
      </c>
      <c r="E393" t="s">
        <v>561</v>
      </c>
      <c r="F393">
        <v>0</v>
      </c>
      <c r="G393" t="s">
        <v>562</v>
      </c>
      <c r="H393" t="s">
        <v>153</v>
      </c>
      <c r="I393" t="s">
        <v>563</v>
      </c>
      <c r="J393">
        <v>0</v>
      </c>
      <c r="K393">
        <v>165</v>
      </c>
      <c r="L393">
        <v>36</v>
      </c>
      <c r="M393">
        <v>97</v>
      </c>
      <c r="N393">
        <v>1142</v>
      </c>
      <c r="O393">
        <v>3697</v>
      </c>
      <c r="P393" t="str">
        <f t="shared" si="6"/>
        <v>Weekend</v>
      </c>
    </row>
    <row r="394" spans="1:16" x14ac:dyDescent="0.3">
      <c r="A394">
        <v>8053475328</v>
      </c>
      <c r="B394" s="1">
        <v>42464</v>
      </c>
      <c r="C394">
        <v>17395</v>
      </c>
      <c r="D394" t="s">
        <v>564</v>
      </c>
      <c r="E394" t="s">
        <v>564</v>
      </c>
      <c r="F394">
        <v>0</v>
      </c>
      <c r="G394" t="s">
        <v>565</v>
      </c>
      <c r="H394" t="s">
        <v>287</v>
      </c>
      <c r="I394" t="s">
        <v>566</v>
      </c>
      <c r="J394">
        <v>0</v>
      </c>
      <c r="K394">
        <v>100</v>
      </c>
      <c r="L394">
        <v>4</v>
      </c>
      <c r="M394">
        <v>213</v>
      </c>
      <c r="N394">
        <v>1123</v>
      </c>
      <c r="O394">
        <v>3209</v>
      </c>
      <c r="P394" t="str">
        <f t="shared" si="6"/>
        <v>Weekday</v>
      </c>
    </row>
    <row r="395" spans="1:16" x14ac:dyDescent="0.3">
      <c r="A395">
        <v>8053475328</v>
      </c>
      <c r="B395" s="1">
        <v>42465</v>
      </c>
      <c r="C395">
        <v>17167</v>
      </c>
      <c r="D395" t="s">
        <v>567</v>
      </c>
      <c r="E395" t="s">
        <v>567</v>
      </c>
      <c r="F395">
        <v>0</v>
      </c>
      <c r="G395" t="s">
        <v>568</v>
      </c>
      <c r="H395" t="s">
        <v>119</v>
      </c>
      <c r="I395" t="s">
        <v>482</v>
      </c>
      <c r="J395">
        <v>0</v>
      </c>
      <c r="K395">
        <v>98</v>
      </c>
      <c r="L395">
        <v>8</v>
      </c>
      <c r="M395">
        <v>184</v>
      </c>
      <c r="N395">
        <v>1150</v>
      </c>
      <c r="O395">
        <v>3167</v>
      </c>
      <c r="P395" t="str">
        <f t="shared" si="6"/>
        <v>Weekday</v>
      </c>
    </row>
    <row r="396" spans="1:16" x14ac:dyDescent="0.3">
      <c r="A396">
        <v>8053475328</v>
      </c>
      <c r="B396" s="1">
        <v>42466</v>
      </c>
      <c r="C396">
        <v>16435</v>
      </c>
      <c r="D396" t="s">
        <v>569</v>
      </c>
      <c r="E396" t="s">
        <v>569</v>
      </c>
      <c r="F396">
        <v>0</v>
      </c>
      <c r="G396" t="s">
        <v>570</v>
      </c>
      <c r="H396" t="s">
        <v>362</v>
      </c>
      <c r="I396" t="s">
        <v>571</v>
      </c>
      <c r="J396">
        <v>0</v>
      </c>
      <c r="K396">
        <v>100</v>
      </c>
      <c r="L396">
        <v>14</v>
      </c>
      <c r="M396">
        <v>191</v>
      </c>
      <c r="N396">
        <v>1135</v>
      </c>
      <c r="O396">
        <v>3122</v>
      </c>
      <c r="P396" t="str">
        <f t="shared" si="6"/>
        <v>Weekday</v>
      </c>
    </row>
    <row r="397" spans="1:16" x14ac:dyDescent="0.3">
      <c r="A397">
        <v>8053475328</v>
      </c>
      <c r="B397" s="1">
        <v>42467</v>
      </c>
      <c r="C397">
        <v>17078</v>
      </c>
      <c r="D397" t="s">
        <v>572</v>
      </c>
      <c r="E397" t="s">
        <v>572</v>
      </c>
      <c r="F397">
        <v>0</v>
      </c>
      <c r="G397" t="s">
        <v>573</v>
      </c>
      <c r="H397" t="s">
        <v>357</v>
      </c>
      <c r="I397" t="s">
        <v>149</v>
      </c>
      <c r="J397">
        <v>0</v>
      </c>
      <c r="K397">
        <v>101</v>
      </c>
      <c r="L397">
        <v>6</v>
      </c>
      <c r="M397">
        <v>190</v>
      </c>
      <c r="N397">
        <v>1143</v>
      </c>
      <c r="O397">
        <v>3176</v>
      </c>
      <c r="P397" t="str">
        <f t="shared" si="6"/>
        <v>Weekday</v>
      </c>
    </row>
    <row r="398" spans="1:16" x14ac:dyDescent="0.3">
      <c r="A398">
        <v>8053475328</v>
      </c>
      <c r="B398" s="1">
        <v>42468</v>
      </c>
      <c r="C398">
        <v>11693</v>
      </c>
      <c r="D398" t="s">
        <v>574</v>
      </c>
      <c r="E398" t="s">
        <v>574</v>
      </c>
      <c r="F398">
        <v>0</v>
      </c>
      <c r="G398" t="s">
        <v>575</v>
      </c>
      <c r="H398" t="s">
        <v>323</v>
      </c>
      <c r="I398" s="3">
        <v>46144</v>
      </c>
      <c r="J398">
        <v>0</v>
      </c>
      <c r="K398">
        <v>60</v>
      </c>
      <c r="L398">
        <v>6</v>
      </c>
      <c r="M398">
        <v>153</v>
      </c>
      <c r="N398">
        <v>1221</v>
      </c>
      <c r="O398">
        <v>2790</v>
      </c>
      <c r="P398" t="str">
        <f t="shared" si="6"/>
        <v>Weekday</v>
      </c>
    </row>
    <row r="399" spans="1:16" x14ac:dyDescent="0.3">
      <c r="A399">
        <v>8053475328</v>
      </c>
      <c r="B399" s="1">
        <v>42469</v>
      </c>
      <c r="C399">
        <v>11159</v>
      </c>
      <c r="D399" t="s">
        <v>526</v>
      </c>
      <c r="E399" t="s">
        <v>526</v>
      </c>
      <c r="F399">
        <v>0</v>
      </c>
      <c r="G399" t="s">
        <v>576</v>
      </c>
      <c r="H399" t="s">
        <v>105</v>
      </c>
      <c r="I399" t="s">
        <v>392</v>
      </c>
      <c r="J399">
        <v>0</v>
      </c>
      <c r="K399">
        <v>59</v>
      </c>
      <c r="L399">
        <v>6</v>
      </c>
      <c r="M399">
        <v>120</v>
      </c>
      <c r="N399">
        <v>1255</v>
      </c>
      <c r="O399">
        <v>2715</v>
      </c>
      <c r="P399" t="str">
        <f t="shared" si="6"/>
        <v>Weekend</v>
      </c>
    </row>
    <row r="400" spans="1:16" x14ac:dyDescent="0.3">
      <c r="A400">
        <v>8053475328</v>
      </c>
      <c r="B400" s="1">
        <v>42470</v>
      </c>
      <c r="C400">
        <v>10118</v>
      </c>
      <c r="D400" t="s">
        <v>577</v>
      </c>
      <c r="E400" t="s">
        <v>577</v>
      </c>
      <c r="F400">
        <v>0</v>
      </c>
      <c r="G400" t="s">
        <v>578</v>
      </c>
      <c r="H400" t="s">
        <v>247</v>
      </c>
      <c r="I400" t="s">
        <v>579</v>
      </c>
      <c r="J400">
        <v>0</v>
      </c>
      <c r="K400">
        <v>30</v>
      </c>
      <c r="L400">
        <v>18</v>
      </c>
      <c r="M400">
        <v>207</v>
      </c>
      <c r="N400">
        <v>1185</v>
      </c>
      <c r="O400">
        <v>2684</v>
      </c>
      <c r="P400" t="str">
        <f t="shared" si="6"/>
        <v>Weekend</v>
      </c>
    </row>
    <row r="401" spans="1:16" x14ac:dyDescent="0.3">
      <c r="A401">
        <v>8053475328</v>
      </c>
      <c r="B401" s="1">
        <v>42471</v>
      </c>
      <c r="C401">
        <v>16064</v>
      </c>
      <c r="D401" t="s">
        <v>580</v>
      </c>
      <c r="E401" t="s">
        <v>580</v>
      </c>
      <c r="F401">
        <v>0</v>
      </c>
      <c r="G401" t="s">
        <v>581</v>
      </c>
      <c r="H401" t="s">
        <v>155</v>
      </c>
      <c r="I401" t="s">
        <v>496</v>
      </c>
      <c r="J401">
        <v>0</v>
      </c>
      <c r="K401">
        <v>96</v>
      </c>
      <c r="L401">
        <v>8</v>
      </c>
      <c r="M401">
        <v>155</v>
      </c>
      <c r="N401">
        <v>1181</v>
      </c>
      <c r="O401">
        <v>3097</v>
      </c>
      <c r="P401" t="str">
        <f t="shared" si="6"/>
        <v>Weekday</v>
      </c>
    </row>
    <row r="402" spans="1:16" x14ac:dyDescent="0.3">
      <c r="A402">
        <v>8053475328</v>
      </c>
      <c r="B402" s="1">
        <v>42472</v>
      </c>
      <c r="C402">
        <v>290</v>
      </c>
      <c r="D402" t="s">
        <v>130</v>
      </c>
      <c r="E402" t="s">
        <v>130</v>
      </c>
      <c r="F402">
        <v>0</v>
      </c>
      <c r="G402">
        <v>0</v>
      </c>
      <c r="H402">
        <v>0</v>
      </c>
      <c r="I402" t="s">
        <v>130</v>
      </c>
      <c r="J402">
        <v>0</v>
      </c>
      <c r="K402">
        <v>0</v>
      </c>
      <c r="L402">
        <v>0</v>
      </c>
      <c r="M402">
        <v>16</v>
      </c>
      <c r="N402">
        <v>599</v>
      </c>
      <c r="O402">
        <v>791</v>
      </c>
      <c r="P402" t="str">
        <f t="shared" si="6"/>
        <v>Weekday</v>
      </c>
    </row>
    <row r="403" spans="1:16" hidden="1" x14ac:dyDescent="0.3">
      <c r="A403">
        <v>8253242879</v>
      </c>
      <c r="B403" s="1">
        <v>42461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1440</v>
      </c>
      <c r="O403">
        <v>1429</v>
      </c>
      <c r="P403" t="str">
        <f t="shared" si="6"/>
        <v>Weekday</v>
      </c>
    </row>
    <row r="404" spans="1:16" hidden="1" x14ac:dyDescent="0.3">
      <c r="A404">
        <v>8253242879</v>
      </c>
      <c r="B404" s="1">
        <v>42462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1440</v>
      </c>
      <c r="O404">
        <v>1429</v>
      </c>
      <c r="P404" t="str">
        <f t="shared" si="6"/>
        <v>Weekend</v>
      </c>
    </row>
    <row r="405" spans="1:16" hidden="1" x14ac:dyDescent="0.3">
      <c r="A405">
        <v>8253242879</v>
      </c>
      <c r="B405" s="1">
        <v>42463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1440</v>
      </c>
      <c r="O405">
        <v>1429</v>
      </c>
      <c r="P405" t="str">
        <f t="shared" si="6"/>
        <v>Weekend</v>
      </c>
    </row>
    <row r="406" spans="1:16" hidden="1" x14ac:dyDescent="0.3">
      <c r="A406">
        <v>8253242879</v>
      </c>
      <c r="B406" s="1">
        <v>42464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1440</v>
      </c>
      <c r="O406">
        <v>1429</v>
      </c>
      <c r="P406" t="str">
        <f t="shared" si="6"/>
        <v>Weekday</v>
      </c>
    </row>
    <row r="407" spans="1:16" hidden="1" x14ac:dyDescent="0.3">
      <c r="A407">
        <v>8253242879</v>
      </c>
      <c r="B407" s="1">
        <v>42465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1440</v>
      </c>
      <c r="O407">
        <v>1429</v>
      </c>
      <c r="P407" t="str">
        <f t="shared" si="6"/>
        <v>Weekday</v>
      </c>
    </row>
    <row r="408" spans="1:16" x14ac:dyDescent="0.3">
      <c r="A408">
        <v>8253242879</v>
      </c>
      <c r="B408" s="1">
        <v>42466</v>
      </c>
      <c r="C408">
        <v>1931</v>
      </c>
      <c r="D408" t="s">
        <v>51</v>
      </c>
      <c r="E408" t="s">
        <v>51</v>
      </c>
      <c r="F408">
        <v>0</v>
      </c>
      <c r="G408">
        <v>0</v>
      </c>
      <c r="H408">
        <v>0</v>
      </c>
      <c r="I408" t="s">
        <v>51</v>
      </c>
      <c r="J408">
        <v>0</v>
      </c>
      <c r="K408">
        <v>0</v>
      </c>
      <c r="L408">
        <v>0</v>
      </c>
      <c r="M408">
        <v>94</v>
      </c>
      <c r="N408">
        <v>1346</v>
      </c>
      <c r="O408">
        <v>1607</v>
      </c>
      <c r="P408" t="str">
        <f t="shared" si="6"/>
        <v>Weekday</v>
      </c>
    </row>
    <row r="409" spans="1:16" x14ac:dyDescent="0.3">
      <c r="A409">
        <v>8253242879</v>
      </c>
      <c r="B409" s="1">
        <v>42467</v>
      </c>
      <c r="C409">
        <v>5181</v>
      </c>
      <c r="D409" t="s">
        <v>582</v>
      </c>
      <c r="E409" t="s">
        <v>582</v>
      </c>
      <c r="F409">
        <v>0</v>
      </c>
      <c r="G409">
        <v>1</v>
      </c>
      <c r="H409" t="s">
        <v>50</v>
      </c>
      <c r="I409" t="s">
        <v>332</v>
      </c>
      <c r="J409" t="s">
        <v>84</v>
      </c>
      <c r="K409">
        <v>15</v>
      </c>
      <c r="L409">
        <v>15</v>
      </c>
      <c r="M409">
        <v>107</v>
      </c>
      <c r="N409">
        <v>1303</v>
      </c>
      <c r="O409">
        <v>1776</v>
      </c>
      <c r="P409" t="str">
        <f t="shared" si="6"/>
        <v>Weekday</v>
      </c>
    </row>
    <row r="410" spans="1:16" x14ac:dyDescent="0.3">
      <c r="A410">
        <v>8253242879</v>
      </c>
      <c r="B410" s="1">
        <v>42468</v>
      </c>
      <c r="C410">
        <v>12026</v>
      </c>
      <c r="D410" t="s">
        <v>583</v>
      </c>
      <c r="E410" t="s">
        <v>583</v>
      </c>
      <c r="F410">
        <v>0</v>
      </c>
      <c r="G410" t="s">
        <v>132</v>
      </c>
      <c r="H410" t="s">
        <v>584</v>
      </c>
      <c r="I410" t="s">
        <v>370</v>
      </c>
      <c r="J410">
        <v>0</v>
      </c>
      <c r="K410">
        <v>47</v>
      </c>
      <c r="L410">
        <v>13</v>
      </c>
      <c r="M410">
        <v>150</v>
      </c>
      <c r="N410">
        <v>1230</v>
      </c>
      <c r="O410">
        <v>2162</v>
      </c>
      <c r="P410" t="str">
        <f t="shared" si="6"/>
        <v>Weekday</v>
      </c>
    </row>
    <row r="411" spans="1:16" x14ac:dyDescent="0.3">
      <c r="A411">
        <v>8253242879</v>
      </c>
      <c r="B411" s="1">
        <v>42469</v>
      </c>
      <c r="C411">
        <v>5360</v>
      </c>
      <c r="D411" t="s">
        <v>585</v>
      </c>
      <c r="E411" t="s">
        <v>585</v>
      </c>
      <c r="F411">
        <v>0</v>
      </c>
      <c r="G411" t="s">
        <v>369</v>
      </c>
      <c r="H411" t="s">
        <v>154</v>
      </c>
      <c r="I411" t="s">
        <v>157</v>
      </c>
      <c r="J411">
        <v>0</v>
      </c>
      <c r="K411">
        <v>8</v>
      </c>
      <c r="L411">
        <v>28</v>
      </c>
      <c r="M411">
        <v>148</v>
      </c>
      <c r="N411">
        <v>1256</v>
      </c>
      <c r="O411">
        <v>1832</v>
      </c>
      <c r="P411" t="str">
        <f t="shared" si="6"/>
        <v>Weekend</v>
      </c>
    </row>
    <row r="412" spans="1:16" x14ac:dyDescent="0.3">
      <c r="A412">
        <v>8253242879</v>
      </c>
      <c r="B412" s="1">
        <v>42470</v>
      </c>
      <c r="C412">
        <v>2545</v>
      </c>
      <c r="D412" t="s">
        <v>270</v>
      </c>
      <c r="E412" t="s">
        <v>270</v>
      </c>
      <c r="F412">
        <v>0</v>
      </c>
      <c r="G412">
        <v>0</v>
      </c>
      <c r="H412">
        <v>0</v>
      </c>
      <c r="I412" t="s">
        <v>586</v>
      </c>
      <c r="J412" t="s">
        <v>159</v>
      </c>
      <c r="K412">
        <v>0</v>
      </c>
      <c r="L412">
        <v>0</v>
      </c>
      <c r="M412">
        <v>126</v>
      </c>
      <c r="N412">
        <v>1314</v>
      </c>
      <c r="O412">
        <v>1657</v>
      </c>
      <c r="P412" t="str">
        <f t="shared" si="6"/>
        <v>Weekend</v>
      </c>
    </row>
    <row r="413" spans="1:16" x14ac:dyDescent="0.3">
      <c r="A413">
        <v>8253242879</v>
      </c>
      <c r="B413" s="1">
        <v>42471</v>
      </c>
      <c r="C413">
        <v>1636</v>
      </c>
      <c r="D413" t="s">
        <v>556</v>
      </c>
      <c r="E413" t="s">
        <v>556</v>
      </c>
      <c r="F413">
        <v>0</v>
      </c>
      <c r="G413">
        <v>0</v>
      </c>
      <c r="H413">
        <v>0</v>
      </c>
      <c r="I413" t="s">
        <v>556</v>
      </c>
      <c r="J413">
        <v>0</v>
      </c>
      <c r="K413">
        <v>0</v>
      </c>
      <c r="L413">
        <v>0</v>
      </c>
      <c r="M413">
        <v>86</v>
      </c>
      <c r="N413">
        <v>1139</v>
      </c>
      <c r="O413">
        <v>1377</v>
      </c>
      <c r="P413" t="str">
        <f t="shared" si="6"/>
        <v>Weekday</v>
      </c>
    </row>
    <row r="414" spans="1:16" hidden="1" x14ac:dyDescent="0.3">
      <c r="A414">
        <v>8253242879</v>
      </c>
      <c r="B414" s="1">
        <v>42472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1440</v>
      </c>
      <c r="O414">
        <v>0</v>
      </c>
      <c r="P414" t="str">
        <f t="shared" si="6"/>
        <v>Weekday</v>
      </c>
    </row>
    <row r="415" spans="1:16" x14ac:dyDescent="0.3">
      <c r="A415">
        <v>8378563200</v>
      </c>
      <c r="B415" s="1">
        <v>42461</v>
      </c>
      <c r="C415">
        <v>14179</v>
      </c>
      <c r="D415" t="s">
        <v>519</v>
      </c>
      <c r="E415" t="s">
        <v>519</v>
      </c>
      <c r="F415">
        <v>0</v>
      </c>
      <c r="G415" t="s">
        <v>234</v>
      </c>
      <c r="H415" t="s">
        <v>587</v>
      </c>
      <c r="I415" t="s">
        <v>314</v>
      </c>
      <c r="J415">
        <v>0</v>
      </c>
      <c r="K415">
        <v>73</v>
      </c>
      <c r="L415">
        <v>21</v>
      </c>
      <c r="M415">
        <v>195</v>
      </c>
      <c r="N415">
        <v>719</v>
      </c>
      <c r="O415">
        <v>3669</v>
      </c>
      <c r="P415" t="str">
        <f t="shared" si="6"/>
        <v>Weekday</v>
      </c>
    </row>
    <row r="416" spans="1:16" x14ac:dyDescent="0.3">
      <c r="A416">
        <v>8378563200</v>
      </c>
      <c r="B416" s="1">
        <v>42462</v>
      </c>
      <c r="C416">
        <v>3358</v>
      </c>
      <c r="D416" t="s">
        <v>588</v>
      </c>
      <c r="E416" t="s">
        <v>588</v>
      </c>
      <c r="F416">
        <v>0</v>
      </c>
      <c r="G416">
        <v>0</v>
      </c>
      <c r="H416">
        <v>0</v>
      </c>
      <c r="I416" t="s">
        <v>588</v>
      </c>
      <c r="J416">
        <v>0</v>
      </c>
      <c r="K416">
        <v>0</v>
      </c>
      <c r="L416">
        <v>0</v>
      </c>
      <c r="M416">
        <v>144</v>
      </c>
      <c r="N416">
        <v>657</v>
      </c>
      <c r="O416">
        <v>2702</v>
      </c>
      <c r="P416" t="str">
        <f t="shared" si="6"/>
        <v>Weekend</v>
      </c>
    </row>
    <row r="417" spans="1:16" x14ac:dyDescent="0.3">
      <c r="A417">
        <v>8378563200</v>
      </c>
      <c r="B417" s="1">
        <v>42463</v>
      </c>
      <c r="C417">
        <v>9152</v>
      </c>
      <c r="D417" t="s">
        <v>77</v>
      </c>
      <c r="E417" t="s">
        <v>77</v>
      </c>
      <c r="F417">
        <v>0</v>
      </c>
      <c r="G417" t="s">
        <v>285</v>
      </c>
      <c r="H417" t="s">
        <v>412</v>
      </c>
      <c r="I417" t="s">
        <v>67</v>
      </c>
      <c r="J417">
        <v>0</v>
      </c>
      <c r="K417">
        <v>25</v>
      </c>
      <c r="L417">
        <v>13</v>
      </c>
      <c r="M417">
        <v>243</v>
      </c>
      <c r="N417">
        <v>600</v>
      </c>
      <c r="O417">
        <v>3304</v>
      </c>
      <c r="P417" t="str">
        <f t="shared" si="6"/>
        <v>Weekend</v>
      </c>
    </row>
    <row r="418" spans="1:16" x14ac:dyDescent="0.3">
      <c r="A418">
        <v>8378563200</v>
      </c>
      <c r="B418" s="1">
        <v>42464</v>
      </c>
      <c r="C418">
        <v>13935</v>
      </c>
      <c r="D418" t="s">
        <v>589</v>
      </c>
      <c r="E418" t="s">
        <v>589</v>
      </c>
      <c r="F418" t="s">
        <v>590</v>
      </c>
      <c r="G418" t="s">
        <v>324</v>
      </c>
      <c r="H418" t="s">
        <v>29</v>
      </c>
      <c r="I418" t="s">
        <v>591</v>
      </c>
      <c r="J418">
        <v>0</v>
      </c>
      <c r="K418">
        <v>105</v>
      </c>
      <c r="L418">
        <v>16</v>
      </c>
      <c r="M418">
        <v>220</v>
      </c>
      <c r="N418">
        <v>658</v>
      </c>
      <c r="O418">
        <v>4234</v>
      </c>
      <c r="P418" t="str">
        <f t="shared" si="6"/>
        <v>Weekday</v>
      </c>
    </row>
    <row r="419" spans="1:16" x14ac:dyDescent="0.3">
      <c r="A419">
        <v>8378563200</v>
      </c>
      <c r="B419" s="1">
        <v>42465</v>
      </c>
      <c r="C419">
        <v>12846</v>
      </c>
      <c r="D419" t="s">
        <v>592</v>
      </c>
      <c r="E419" t="s">
        <v>592</v>
      </c>
      <c r="F419" t="s">
        <v>593</v>
      </c>
      <c r="G419">
        <v>5</v>
      </c>
      <c r="H419" t="s">
        <v>594</v>
      </c>
      <c r="I419" t="s">
        <v>303</v>
      </c>
      <c r="J419">
        <v>0</v>
      </c>
      <c r="K419">
        <v>113</v>
      </c>
      <c r="L419">
        <v>15</v>
      </c>
      <c r="M419">
        <v>189</v>
      </c>
      <c r="N419">
        <v>686</v>
      </c>
      <c r="O419">
        <v>4128</v>
      </c>
      <c r="P419" t="str">
        <f t="shared" si="6"/>
        <v>Weekday</v>
      </c>
    </row>
    <row r="420" spans="1:16" x14ac:dyDescent="0.3">
      <c r="A420">
        <v>8378563200</v>
      </c>
      <c r="B420" s="1">
        <v>42466</v>
      </c>
      <c r="C420">
        <v>9124</v>
      </c>
      <c r="D420" t="s">
        <v>595</v>
      </c>
      <c r="E420" t="s">
        <v>595</v>
      </c>
      <c r="F420" t="s">
        <v>590</v>
      </c>
      <c r="G420">
        <v>0</v>
      </c>
      <c r="H420" t="s">
        <v>105</v>
      </c>
      <c r="I420" t="s">
        <v>596</v>
      </c>
      <c r="J420">
        <v>0</v>
      </c>
      <c r="K420">
        <v>55</v>
      </c>
      <c r="L420">
        <v>6</v>
      </c>
      <c r="M420">
        <v>230</v>
      </c>
      <c r="N420">
        <v>728</v>
      </c>
      <c r="O420">
        <v>3798</v>
      </c>
      <c r="P420" t="str">
        <f t="shared" si="6"/>
        <v>Weekday</v>
      </c>
    </row>
    <row r="421" spans="1:16" x14ac:dyDescent="0.3">
      <c r="A421">
        <v>8378563200</v>
      </c>
      <c r="B421" s="1">
        <v>42467</v>
      </c>
      <c r="C421">
        <v>9725</v>
      </c>
      <c r="D421" t="s">
        <v>597</v>
      </c>
      <c r="E421" t="s">
        <v>597</v>
      </c>
      <c r="F421" t="s">
        <v>593</v>
      </c>
      <c r="G421" t="s">
        <v>131</v>
      </c>
      <c r="H421" t="s">
        <v>85</v>
      </c>
      <c r="I421" t="s">
        <v>598</v>
      </c>
      <c r="J421">
        <v>0</v>
      </c>
      <c r="K421">
        <v>83</v>
      </c>
      <c r="L421">
        <v>11</v>
      </c>
      <c r="M421">
        <v>181</v>
      </c>
      <c r="N421">
        <v>670</v>
      </c>
      <c r="O421">
        <v>3839</v>
      </c>
      <c r="P421" t="str">
        <f t="shared" si="6"/>
        <v>Weekday</v>
      </c>
    </row>
    <row r="422" spans="1:16" x14ac:dyDescent="0.3">
      <c r="A422">
        <v>8378563200</v>
      </c>
      <c r="B422" s="1">
        <v>42468</v>
      </c>
      <c r="C422">
        <v>8350</v>
      </c>
      <c r="D422" t="s">
        <v>599</v>
      </c>
      <c r="E422" t="s">
        <v>599</v>
      </c>
      <c r="F422" t="s">
        <v>590</v>
      </c>
      <c r="G422" t="s">
        <v>244</v>
      </c>
      <c r="H422" t="s">
        <v>85</v>
      </c>
      <c r="I422" t="s">
        <v>34</v>
      </c>
      <c r="J422">
        <v>0</v>
      </c>
      <c r="K422">
        <v>72</v>
      </c>
      <c r="L422">
        <v>10</v>
      </c>
      <c r="M422">
        <v>167</v>
      </c>
      <c r="N422">
        <v>868</v>
      </c>
      <c r="O422">
        <v>3713</v>
      </c>
      <c r="P422" t="str">
        <f t="shared" si="6"/>
        <v>Weekday</v>
      </c>
    </row>
    <row r="423" spans="1:16" x14ac:dyDescent="0.3">
      <c r="A423">
        <v>8378563200</v>
      </c>
      <c r="B423" s="1">
        <v>42469</v>
      </c>
      <c r="C423">
        <v>2240</v>
      </c>
      <c r="D423" t="s">
        <v>600</v>
      </c>
      <c r="E423" t="s">
        <v>600</v>
      </c>
      <c r="F423">
        <v>0</v>
      </c>
      <c r="G423">
        <v>0</v>
      </c>
      <c r="H423">
        <v>0</v>
      </c>
      <c r="I423" t="s">
        <v>600</v>
      </c>
      <c r="J423">
        <v>0</v>
      </c>
      <c r="K423">
        <v>0</v>
      </c>
      <c r="L423">
        <v>0</v>
      </c>
      <c r="M423">
        <v>110</v>
      </c>
      <c r="N423">
        <v>843</v>
      </c>
      <c r="O423">
        <v>2606</v>
      </c>
      <c r="P423" t="str">
        <f t="shared" si="6"/>
        <v>Weekend</v>
      </c>
    </row>
    <row r="424" spans="1:16" x14ac:dyDescent="0.3">
      <c r="A424">
        <v>8378563200</v>
      </c>
      <c r="B424" s="1">
        <v>42470</v>
      </c>
      <c r="C424">
        <v>2631</v>
      </c>
      <c r="D424" t="s">
        <v>358</v>
      </c>
      <c r="E424" t="s">
        <v>358</v>
      </c>
      <c r="F424">
        <v>0</v>
      </c>
      <c r="G424">
        <v>0</v>
      </c>
      <c r="H424">
        <v>0</v>
      </c>
      <c r="I424" t="s">
        <v>358</v>
      </c>
      <c r="J424">
        <v>0</v>
      </c>
      <c r="K424">
        <v>0</v>
      </c>
      <c r="L424">
        <v>0</v>
      </c>
      <c r="M424">
        <v>117</v>
      </c>
      <c r="N424">
        <v>727</v>
      </c>
      <c r="O424">
        <v>2624</v>
      </c>
      <c r="P424" t="str">
        <f t="shared" si="6"/>
        <v>Weekend</v>
      </c>
    </row>
    <row r="425" spans="1:16" x14ac:dyDescent="0.3">
      <c r="A425">
        <v>8378563200</v>
      </c>
      <c r="B425" s="1">
        <v>42471</v>
      </c>
      <c r="C425">
        <v>8837</v>
      </c>
      <c r="D425" t="s">
        <v>601</v>
      </c>
      <c r="E425" t="s">
        <v>601</v>
      </c>
      <c r="F425" t="s">
        <v>590</v>
      </c>
      <c r="G425" t="s">
        <v>602</v>
      </c>
      <c r="H425" t="s">
        <v>603</v>
      </c>
      <c r="I425" t="s">
        <v>604</v>
      </c>
      <c r="J425">
        <v>0</v>
      </c>
      <c r="K425">
        <v>74</v>
      </c>
      <c r="L425">
        <v>17</v>
      </c>
      <c r="M425">
        <v>182</v>
      </c>
      <c r="N425">
        <v>811</v>
      </c>
      <c r="O425">
        <v>3775</v>
      </c>
      <c r="P425" t="str">
        <f t="shared" si="6"/>
        <v>Weekday</v>
      </c>
    </row>
    <row r="426" spans="1:16" x14ac:dyDescent="0.3">
      <c r="A426">
        <v>8378563200</v>
      </c>
      <c r="B426" s="1">
        <v>42472</v>
      </c>
      <c r="C426">
        <v>3246</v>
      </c>
      <c r="D426" t="s">
        <v>16</v>
      </c>
      <c r="E426" t="s">
        <v>16</v>
      </c>
      <c r="F426" t="s">
        <v>593</v>
      </c>
      <c r="G426" t="s">
        <v>45</v>
      </c>
      <c r="H426" t="s">
        <v>605</v>
      </c>
      <c r="I426" t="s">
        <v>292</v>
      </c>
      <c r="J426">
        <v>0</v>
      </c>
      <c r="K426">
        <v>65</v>
      </c>
      <c r="L426">
        <v>15</v>
      </c>
      <c r="M426">
        <v>49</v>
      </c>
      <c r="N426">
        <v>243</v>
      </c>
      <c r="O426">
        <v>1882</v>
      </c>
      <c r="P426" t="str">
        <f t="shared" si="6"/>
        <v>Weekday</v>
      </c>
    </row>
    <row r="427" spans="1:16" x14ac:dyDescent="0.3">
      <c r="A427">
        <v>8583815059</v>
      </c>
      <c r="B427" s="1">
        <v>42461</v>
      </c>
      <c r="C427">
        <v>2174</v>
      </c>
      <c r="D427" t="s">
        <v>441</v>
      </c>
      <c r="E427" t="s">
        <v>441</v>
      </c>
      <c r="F427">
        <v>0</v>
      </c>
      <c r="G427">
        <v>0</v>
      </c>
      <c r="H427">
        <v>0</v>
      </c>
      <c r="I427" t="s">
        <v>441</v>
      </c>
      <c r="J427">
        <v>0</v>
      </c>
      <c r="K427">
        <v>0</v>
      </c>
      <c r="L427">
        <v>0</v>
      </c>
      <c r="M427">
        <v>112</v>
      </c>
      <c r="N427">
        <v>1328</v>
      </c>
      <c r="O427">
        <v>2360</v>
      </c>
      <c r="P427" t="str">
        <f t="shared" si="6"/>
        <v>Weekday</v>
      </c>
    </row>
    <row r="428" spans="1:16" x14ac:dyDescent="0.3">
      <c r="A428">
        <v>8583815059</v>
      </c>
      <c r="B428" s="1">
        <v>42462</v>
      </c>
      <c r="C428">
        <v>3494</v>
      </c>
      <c r="D428" t="s">
        <v>513</v>
      </c>
      <c r="E428" t="s">
        <v>513</v>
      </c>
      <c r="F428">
        <v>0</v>
      </c>
      <c r="G428">
        <v>0</v>
      </c>
      <c r="H428">
        <v>0</v>
      </c>
      <c r="I428" t="s">
        <v>606</v>
      </c>
      <c r="J428">
        <v>0</v>
      </c>
      <c r="K428">
        <v>0</v>
      </c>
      <c r="L428">
        <v>0</v>
      </c>
      <c r="M428">
        <v>166</v>
      </c>
      <c r="N428">
        <v>1274</v>
      </c>
      <c r="O428">
        <v>2517</v>
      </c>
      <c r="P428" t="str">
        <f t="shared" si="6"/>
        <v>Weekend</v>
      </c>
    </row>
    <row r="429" spans="1:16" x14ac:dyDescent="0.3">
      <c r="A429">
        <v>8583815059</v>
      </c>
      <c r="B429" s="1">
        <v>42463</v>
      </c>
      <c r="C429">
        <v>2380</v>
      </c>
      <c r="D429" t="s">
        <v>607</v>
      </c>
      <c r="E429" t="s">
        <v>607</v>
      </c>
      <c r="F429">
        <v>0</v>
      </c>
      <c r="G429">
        <v>0</v>
      </c>
      <c r="H429">
        <v>0</v>
      </c>
      <c r="I429" t="s">
        <v>607</v>
      </c>
      <c r="J429">
        <v>0</v>
      </c>
      <c r="K429">
        <v>0</v>
      </c>
      <c r="L429">
        <v>0</v>
      </c>
      <c r="M429">
        <v>131</v>
      </c>
      <c r="N429">
        <v>1309</v>
      </c>
      <c r="O429">
        <v>2400</v>
      </c>
      <c r="P429" t="str">
        <f t="shared" si="6"/>
        <v>Weekend</v>
      </c>
    </row>
    <row r="430" spans="1:16" x14ac:dyDescent="0.3">
      <c r="A430">
        <v>8583815059</v>
      </c>
      <c r="B430" s="1">
        <v>42464</v>
      </c>
      <c r="C430">
        <v>3159</v>
      </c>
      <c r="D430" t="s">
        <v>608</v>
      </c>
      <c r="E430" t="s">
        <v>608</v>
      </c>
      <c r="F430">
        <v>0</v>
      </c>
      <c r="G430">
        <v>0</v>
      </c>
      <c r="H430">
        <v>0</v>
      </c>
      <c r="I430" t="s">
        <v>608</v>
      </c>
      <c r="J430">
        <v>0</v>
      </c>
      <c r="K430">
        <v>0</v>
      </c>
      <c r="L430">
        <v>0</v>
      </c>
      <c r="M430">
        <v>147</v>
      </c>
      <c r="N430">
        <v>1293</v>
      </c>
      <c r="O430">
        <v>2462</v>
      </c>
      <c r="P430" t="str">
        <f t="shared" si="6"/>
        <v>Weekday</v>
      </c>
    </row>
    <row r="431" spans="1:16" x14ac:dyDescent="0.3">
      <c r="A431">
        <v>8583815059</v>
      </c>
      <c r="B431" s="1">
        <v>42465</v>
      </c>
      <c r="C431">
        <v>6835</v>
      </c>
      <c r="D431" t="s">
        <v>188</v>
      </c>
      <c r="E431" t="s">
        <v>188</v>
      </c>
      <c r="F431">
        <v>0</v>
      </c>
      <c r="G431" t="s">
        <v>141</v>
      </c>
      <c r="H431" t="s">
        <v>21</v>
      </c>
      <c r="I431" t="s">
        <v>517</v>
      </c>
      <c r="J431">
        <v>0</v>
      </c>
      <c r="K431">
        <v>5</v>
      </c>
      <c r="L431">
        <v>15</v>
      </c>
      <c r="M431">
        <v>212</v>
      </c>
      <c r="N431">
        <v>1208</v>
      </c>
      <c r="O431">
        <v>2786</v>
      </c>
      <c r="P431" t="str">
        <f t="shared" si="6"/>
        <v>Weekday</v>
      </c>
    </row>
    <row r="432" spans="1:16" x14ac:dyDescent="0.3">
      <c r="A432">
        <v>8583815059</v>
      </c>
      <c r="B432" s="1">
        <v>42466</v>
      </c>
      <c r="C432">
        <v>2098</v>
      </c>
      <c r="D432" t="s">
        <v>225</v>
      </c>
      <c r="E432" t="s">
        <v>225</v>
      </c>
      <c r="F432">
        <v>0</v>
      </c>
      <c r="G432">
        <v>0</v>
      </c>
      <c r="H432">
        <v>0</v>
      </c>
      <c r="I432" t="s">
        <v>153</v>
      </c>
      <c r="J432">
        <v>0</v>
      </c>
      <c r="K432">
        <v>0</v>
      </c>
      <c r="L432">
        <v>0</v>
      </c>
      <c r="M432">
        <v>112</v>
      </c>
      <c r="N432">
        <v>1328</v>
      </c>
      <c r="O432">
        <v>2354</v>
      </c>
      <c r="P432" t="str">
        <f t="shared" si="6"/>
        <v>Weekday</v>
      </c>
    </row>
    <row r="433" spans="1:16" x14ac:dyDescent="0.3">
      <c r="A433">
        <v>8583815059</v>
      </c>
      <c r="B433" s="1">
        <v>42467</v>
      </c>
      <c r="C433">
        <v>2816</v>
      </c>
      <c r="D433" t="s">
        <v>609</v>
      </c>
      <c r="E433" t="s">
        <v>609</v>
      </c>
      <c r="F433">
        <v>0</v>
      </c>
      <c r="G433">
        <v>0</v>
      </c>
      <c r="H433">
        <v>0</v>
      </c>
      <c r="I433" t="s">
        <v>609</v>
      </c>
      <c r="J433">
        <v>0</v>
      </c>
      <c r="K433">
        <v>0</v>
      </c>
      <c r="L433">
        <v>0</v>
      </c>
      <c r="M433">
        <v>138</v>
      </c>
      <c r="N433">
        <v>1302</v>
      </c>
      <c r="O433">
        <v>2437</v>
      </c>
      <c r="P433" t="str">
        <f t="shared" si="6"/>
        <v>Weekday</v>
      </c>
    </row>
    <row r="434" spans="1:16" x14ac:dyDescent="0.3">
      <c r="A434">
        <v>8583815059</v>
      </c>
      <c r="B434" s="1">
        <v>42468</v>
      </c>
      <c r="C434">
        <v>1408</v>
      </c>
      <c r="D434" t="s">
        <v>610</v>
      </c>
      <c r="E434" t="s">
        <v>610</v>
      </c>
      <c r="F434">
        <v>0</v>
      </c>
      <c r="G434">
        <v>0</v>
      </c>
      <c r="H434">
        <v>0</v>
      </c>
      <c r="I434" t="s">
        <v>610</v>
      </c>
      <c r="J434">
        <v>0</v>
      </c>
      <c r="K434">
        <v>0</v>
      </c>
      <c r="L434">
        <v>0</v>
      </c>
      <c r="M434">
        <v>79</v>
      </c>
      <c r="N434">
        <v>1052</v>
      </c>
      <c r="O434">
        <v>1814</v>
      </c>
      <c r="P434" t="str">
        <f t="shared" si="6"/>
        <v>Weekday</v>
      </c>
    </row>
    <row r="435" spans="1:16" x14ac:dyDescent="0.3">
      <c r="A435">
        <v>8792009665</v>
      </c>
      <c r="B435" s="1">
        <v>42461</v>
      </c>
      <c r="C435">
        <v>4592</v>
      </c>
      <c r="D435" t="s">
        <v>58</v>
      </c>
      <c r="E435" t="s">
        <v>58</v>
      </c>
      <c r="F435">
        <v>0</v>
      </c>
      <c r="G435" t="s">
        <v>398</v>
      </c>
      <c r="H435" t="s">
        <v>80</v>
      </c>
      <c r="I435" t="s">
        <v>611</v>
      </c>
      <c r="J435">
        <v>0</v>
      </c>
      <c r="K435">
        <v>4</v>
      </c>
      <c r="L435">
        <v>8</v>
      </c>
      <c r="M435">
        <v>176</v>
      </c>
      <c r="N435">
        <v>748</v>
      </c>
      <c r="O435">
        <v>2260</v>
      </c>
      <c r="P435" t="str">
        <f t="shared" si="6"/>
        <v>Weekday</v>
      </c>
    </row>
    <row r="436" spans="1:16" x14ac:dyDescent="0.3">
      <c r="A436">
        <v>8792009665</v>
      </c>
      <c r="B436" s="1">
        <v>42462</v>
      </c>
      <c r="C436">
        <v>8452</v>
      </c>
      <c r="D436" t="s">
        <v>423</v>
      </c>
      <c r="E436" t="s">
        <v>423</v>
      </c>
      <c r="F436">
        <v>0</v>
      </c>
      <c r="G436" t="s">
        <v>323</v>
      </c>
      <c r="H436" t="s">
        <v>612</v>
      </c>
      <c r="I436" t="s">
        <v>454</v>
      </c>
      <c r="J436">
        <v>0</v>
      </c>
      <c r="K436">
        <v>9</v>
      </c>
      <c r="L436">
        <v>24</v>
      </c>
      <c r="M436">
        <v>328</v>
      </c>
      <c r="N436">
        <v>1079</v>
      </c>
      <c r="O436">
        <v>3004</v>
      </c>
      <c r="P436" t="str">
        <f t="shared" si="6"/>
        <v>Weekend</v>
      </c>
    </row>
    <row r="437" spans="1:16" x14ac:dyDescent="0.3">
      <c r="A437">
        <v>8792009665</v>
      </c>
      <c r="B437" s="1">
        <v>42463</v>
      </c>
      <c r="C437">
        <v>7238</v>
      </c>
      <c r="D437" t="s">
        <v>613</v>
      </c>
      <c r="E437" t="s">
        <v>613</v>
      </c>
      <c r="F437">
        <v>0</v>
      </c>
      <c r="G437" t="s">
        <v>614</v>
      </c>
      <c r="H437" t="s">
        <v>374</v>
      </c>
      <c r="I437" t="s">
        <v>38</v>
      </c>
      <c r="J437">
        <v>0</v>
      </c>
      <c r="K437">
        <v>2</v>
      </c>
      <c r="L437">
        <v>6</v>
      </c>
      <c r="M437">
        <v>279</v>
      </c>
      <c r="N437">
        <v>636</v>
      </c>
      <c r="O437">
        <v>2667</v>
      </c>
      <c r="P437" t="str">
        <f t="shared" si="6"/>
        <v>Weekend</v>
      </c>
    </row>
    <row r="438" spans="1:16" x14ac:dyDescent="0.3">
      <c r="A438">
        <v>8792009665</v>
      </c>
      <c r="B438" s="1">
        <v>42464</v>
      </c>
      <c r="C438">
        <v>3821</v>
      </c>
      <c r="D438" t="s">
        <v>128</v>
      </c>
      <c r="E438" t="s">
        <v>128</v>
      </c>
      <c r="F438">
        <v>0</v>
      </c>
      <c r="G438">
        <v>0</v>
      </c>
      <c r="H438" t="s">
        <v>190</v>
      </c>
      <c r="I438" t="s">
        <v>615</v>
      </c>
      <c r="J438">
        <v>0</v>
      </c>
      <c r="K438">
        <v>0</v>
      </c>
      <c r="L438">
        <v>9</v>
      </c>
      <c r="M438">
        <v>161</v>
      </c>
      <c r="N438">
        <v>675</v>
      </c>
      <c r="O438">
        <v>2229</v>
      </c>
      <c r="P438" t="str">
        <f t="shared" si="6"/>
        <v>Weekday</v>
      </c>
    </row>
    <row r="439" spans="1:16" x14ac:dyDescent="0.3">
      <c r="A439">
        <v>8792009665</v>
      </c>
      <c r="B439" s="1">
        <v>42465</v>
      </c>
      <c r="C439">
        <v>2332</v>
      </c>
      <c r="D439" t="s">
        <v>244</v>
      </c>
      <c r="E439" t="s">
        <v>244</v>
      </c>
      <c r="F439">
        <v>0</v>
      </c>
      <c r="G439" t="s">
        <v>84</v>
      </c>
      <c r="H439" t="s">
        <v>287</v>
      </c>
      <c r="I439" t="s">
        <v>273</v>
      </c>
      <c r="J439">
        <v>0</v>
      </c>
      <c r="K439">
        <v>1</v>
      </c>
      <c r="L439">
        <v>10</v>
      </c>
      <c r="M439">
        <v>111</v>
      </c>
      <c r="N439">
        <v>904</v>
      </c>
      <c r="O439">
        <v>2100</v>
      </c>
      <c r="P439" t="str">
        <f t="shared" si="6"/>
        <v>Weekday</v>
      </c>
    </row>
    <row r="440" spans="1:16" x14ac:dyDescent="0.3">
      <c r="A440">
        <v>8792009665</v>
      </c>
      <c r="B440" s="1">
        <v>42466</v>
      </c>
      <c r="C440">
        <v>2121</v>
      </c>
      <c r="D440" t="s">
        <v>509</v>
      </c>
      <c r="E440" t="s">
        <v>509</v>
      </c>
      <c r="F440">
        <v>0</v>
      </c>
      <c r="G440">
        <v>0</v>
      </c>
      <c r="H440">
        <v>0</v>
      </c>
      <c r="I440" t="s">
        <v>509</v>
      </c>
      <c r="J440">
        <v>0</v>
      </c>
      <c r="K440">
        <v>0</v>
      </c>
      <c r="L440">
        <v>0</v>
      </c>
      <c r="M440">
        <v>122</v>
      </c>
      <c r="N440">
        <v>855</v>
      </c>
      <c r="O440">
        <v>2114</v>
      </c>
      <c r="P440" t="str">
        <f t="shared" si="6"/>
        <v>Weekday</v>
      </c>
    </row>
    <row r="441" spans="1:16" x14ac:dyDescent="0.3">
      <c r="A441">
        <v>8792009665</v>
      </c>
      <c r="B441" s="1">
        <v>42467</v>
      </c>
      <c r="C441">
        <v>1291</v>
      </c>
      <c r="D441" t="s">
        <v>45</v>
      </c>
      <c r="E441" t="s">
        <v>45</v>
      </c>
      <c r="F441">
        <v>0</v>
      </c>
      <c r="G441">
        <v>0</v>
      </c>
      <c r="H441">
        <v>0</v>
      </c>
      <c r="I441" t="s">
        <v>45</v>
      </c>
      <c r="J441">
        <v>0</v>
      </c>
      <c r="K441">
        <v>0</v>
      </c>
      <c r="L441">
        <v>0</v>
      </c>
      <c r="M441">
        <v>77</v>
      </c>
      <c r="N441">
        <v>888</v>
      </c>
      <c r="O441">
        <v>1961</v>
      </c>
      <c r="P441" t="str">
        <f t="shared" si="6"/>
        <v>Weekday</v>
      </c>
    </row>
    <row r="442" spans="1:16" x14ac:dyDescent="0.3">
      <c r="A442">
        <v>8792009665</v>
      </c>
      <c r="B442" s="1">
        <v>42468</v>
      </c>
      <c r="C442">
        <v>1467</v>
      </c>
      <c r="D442" t="s">
        <v>309</v>
      </c>
      <c r="E442" t="s">
        <v>309</v>
      </c>
      <c r="F442">
        <v>0</v>
      </c>
      <c r="G442" t="s">
        <v>398</v>
      </c>
      <c r="H442" t="s">
        <v>130</v>
      </c>
      <c r="I442" t="s">
        <v>162</v>
      </c>
      <c r="J442">
        <v>0</v>
      </c>
      <c r="K442">
        <v>2</v>
      </c>
      <c r="L442">
        <v>8</v>
      </c>
      <c r="M442">
        <v>71</v>
      </c>
      <c r="N442">
        <v>912</v>
      </c>
      <c r="O442">
        <v>1953</v>
      </c>
      <c r="P442" t="str">
        <f t="shared" si="6"/>
        <v>Weekday</v>
      </c>
    </row>
    <row r="443" spans="1:16" x14ac:dyDescent="0.3">
      <c r="A443">
        <v>8792009665</v>
      </c>
      <c r="B443" s="1">
        <v>42469</v>
      </c>
      <c r="C443">
        <v>1022</v>
      </c>
      <c r="D443" t="s">
        <v>97</v>
      </c>
      <c r="E443" t="s">
        <v>97</v>
      </c>
      <c r="F443">
        <v>0</v>
      </c>
      <c r="G443">
        <v>0</v>
      </c>
      <c r="H443">
        <v>0</v>
      </c>
      <c r="I443" t="s">
        <v>97</v>
      </c>
      <c r="J443">
        <v>0</v>
      </c>
      <c r="K443">
        <v>0</v>
      </c>
      <c r="L443">
        <v>0</v>
      </c>
      <c r="M443">
        <v>63</v>
      </c>
      <c r="N443">
        <v>739</v>
      </c>
      <c r="O443">
        <v>1890</v>
      </c>
      <c r="P443" t="str">
        <f t="shared" si="6"/>
        <v>Weekend</v>
      </c>
    </row>
    <row r="444" spans="1:16" x14ac:dyDescent="0.3">
      <c r="A444">
        <v>8792009665</v>
      </c>
      <c r="B444" s="1">
        <v>42470</v>
      </c>
      <c r="C444">
        <v>4605</v>
      </c>
      <c r="D444" t="s">
        <v>616</v>
      </c>
      <c r="E444" t="s">
        <v>616</v>
      </c>
      <c r="F444">
        <v>0</v>
      </c>
      <c r="G444">
        <v>0</v>
      </c>
      <c r="H444">
        <v>0</v>
      </c>
      <c r="I444" t="s">
        <v>616</v>
      </c>
      <c r="J444">
        <v>0</v>
      </c>
      <c r="K444">
        <v>0</v>
      </c>
      <c r="L444">
        <v>0</v>
      </c>
      <c r="M444">
        <v>179</v>
      </c>
      <c r="N444">
        <v>1261</v>
      </c>
      <c r="O444">
        <v>2253</v>
      </c>
      <c r="P444" t="str">
        <f t="shared" si="6"/>
        <v>Weekend</v>
      </c>
    </row>
    <row r="445" spans="1:16" x14ac:dyDescent="0.3">
      <c r="A445">
        <v>8792009665</v>
      </c>
      <c r="B445" s="1">
        <v>42471</v>
      </c>
      <c r="C445">
        <v>178</v>
      </c>
      <c r="D445" t="s">
        <v>614</v>
      </c>
      <c r="E445" t="s">
        <v>614</v>
      </c>
      <c r="F445">
        <v>0</v>
      </c>
      <c r="G445">
        <v>0</v>
      </c>
      <c r="H445">
        <v>0</v>
      </c>
      <c r="I445" t="s">
        <v>614</v>
      </c>
      <c r="J445">
        <v>0</v>
      </c>
      <c r="K445">
        <v>0</v>
      </c>
      <c r="L445">
        <v>0</v>
      </c>
      <c r="M445">
        <v>12</v>
      </c>
      <c r="N445">
        <v>1428</v>
      </c>
      <c r="O445">
        <v>1725</v>
      </c>
      <c r="P445" t="str">
        <f t="shared" si="6"/>
        <v>Weekday</v>
      </c>
    </row>
    <row r="446" spans="1:16" x14ac:dyDescent="0.3">
      <c r="A446">
        <v>8792009665</v>
      </c>
      <c r="B446" s="1">
        <v>42472</v>
      </c>
      <c r="C446">
        <v>20</v>
      </c>
      <c r="D446" t="s">
        <v>84</v>
      </c>
      <c r="E446" t="s">
        <v>84</v>
      </c>
      <c r="F446">
        <v>0</v>
      </c>
      <c r="G446">
        <v>0</v>
      </c>
      <c r="H446">
        <v>0</v>
      </c>
      <c r="I446" t="s">
        <v>84</v>
      </c>
      <c r="J446">
        <v>0</v>
      </c>
      <c r="K446">
        <v>0</v>
      </c>
      <c r="L446">
        <v>0</v>
      </c>
      <c r="M446">
        <v>6</v>
      </c>
      <c r="N446">
        <v>598</v>
      </c>
      <c r="O446">
        <v>728</v>
      </c>
      <c r="P446" t="str">
        <f t="shared" si="6"/>
        <v>Weekday</v>
      </c>
    </row>
    <row r="447" spans="1:16" x14ac:dyDescent="0.3">
      <c r="A447">
        <v>8877689391</v>
      </c>
      <c r="B447" s="1">
        <v>42461</v>
      </c>
      <c r="C447">
        <v>18700</v>
      </c>
      <c r="D447" t="s">
        <v>617</v>
      </c>
      <c r="E447" t="s">
        <v>617</v>
      </c>
      <c r="F447">
        <v>0</v>
      </c>
      <c r="G447" t="s">
        <v>618</v>
      </c>
      <c r="H447" t="s">
        <v>25</v>
      </c>
      <c r="I447" t="s">
        <v>619</v>
      </c>
      <c r="J447">
        <v>0</v>
      </c>
      <c r="K447">
        <v>67</v>
      </c>
      <c r="L447">
        <v>3</v>
      </c>
      <c r="M447">
        <v>247</v>
      </c>
      <c r="N447">
        <v>1123</v>
      </c>
      <c r="O447">
        <v>3527</v>
      </c>
      <c r="P447" t="str">
        <f t="shared" si="6"/>
        <v>Weekday</v>
      </c>
    </row>
    <row r="448" spans="1:16" x14ac:dyDescent="0.3">
      <c r="A448">
        <v>8877689391</v>
      </c>
      <c r="B448" s="1">
        <v>42462</v>
      </c>
      <c r="C448">
        <v>27572</v>
      </c>
      <c r="D448" t="s">
        <v>620</v>
      </c>
      <c r="E448" t="s">
        <v>620</v>
      </c>
      <c r="F448">
        <v>0</v>
      </c>
      <c r="G448" t="s">
        <v>621</v>
      </c>
      <c r="H448" t="s">
        <v>187</v>
      </c>
      <c r="I448" t="s">
        <v>227</v>
      </c>
      <c r="J448" t="s">
        <v>84</v>
      </c>
      <c r="K448">
        <v>116</v>
      </c>
      <c r="L448">
        <v>24</v>
      </c>
      <c r="M448">
        <v>260</v>
      </c>
      <c r="N448">
        <v>1040</v>
      </c>
      <c r="O448">
        <v>4220</v>
      </c>
      <c r="P448" t="str">
        <f t="shared" si="6"/>
        <v>Weekend</v>
      </c>
    </row>
    <row r="449" spans="1:16" x14ac:dyDescent="0.3">
      <c r="A449">
        <v>8877689391</v>
      </c>
      <c r="B449" s="1">
        <v>42463</v>
      </c>
      <c r="C449">
        <v>15260</v>
      </c>
      <c r="D449" t="s">
        <v>456</v>
      </c>
      <c r="E449" t="s">
        <v>456</v>
      </c>
      <c r="F449">
        <v>0</v>
      </c>
      <c r="G449" t="s">
        <v>548</v>
      </c>
      <c r="H449" t="s">
        <v>594</v>
      </c>
      <c r="I449" t="s">
        <v>470</v>
      </c>
      <c r="J449">
        <v>0</v>
      </c>
      <c r="K449">
        <v>106</v>
      </c>
      <c r="L449">
        <v>17</v>
      </c>
      <c r="M449">
        <v>259</v>
      </c>
      <c r="N449">
        <v>1058</v>
      </c>
      <c r="O449">
        <v>3864</v>
      </c>
      <c r="P449" t="str">
        <f t="shared" si="6"/>
        <v>Weekend</v>
      </c>
    </row>
    <row r="450" spans="1:16" x14ac:dyDescent="0.3">
      <c r="A450">
        <v>8877689391</v>
      </c>
      <c r="B450" s="1">
        <v>42464</v>
      </c>
      <c r="C450">
        <v>20779</v>
      </c>
      <c r="D450" t="s">
        <v>622</v>
      </c>
      <c r="E450" t="s">
        <v>622</v>
      </c>
      <c r="F450">
        <v>0</v>
      </c>
      <c r="G450" t="s">
        <v>623</v>
      </c>
      <c r="H450" t="s">
        <v>97</v>
      </c>
      <c r="I450">
        <v>6</v>
      </c>
      <c r="J450">
        <v>0</v>
      </c>
      <c r="K450">
        <v>78</v>
      </c>
      <c r="L450">
        <v>16</v>
      </c>
      <c r="M450">
        <v>208</v>
      </c>
      <c r="N450">
        <v>1138</v>
      </c>
      <c r="O450">
        <v>3662</v>
      </c>
      <c r="P450" t="str">
        <f t="shared" si="6"/>
        <v>Weekday</v>
      </c>
    </row>
    <row r="451" spans="1:16" x14ac:dyDescent="0.3">
      <c r="A451">
        <v>8877689391</v>
      </c>
      <c r="B451" s="1">
        <v>42465</v>
      </c>
      <c r="C451">
        <v>10695</v>
      </c>
      <c r="D451" t="s">
        <v>129</v>
      </c>
      <c r="E451" t="s">
        <v>129</v>
      </c>
      <c r="F451">
        <v>0</v>
      </c>
      <c r="G451" t="s">
        <v>116</v>
      </c>
      <c r="H451" t="s">
        <v>287</v>
      </c>
      <c r="I451" t="s">
        <v>186</v>
      </c>
      <c r="J451" t="s">
        <v>84</v>
      </c>
      <c r="K451">
        <v>10</v>
      </c>
      <c r="L451">
        <v>3</v>
      </c>
      <c r="M451">
        <v>246</v>
      </c>
      <c r="N451">
        <v>1181</v>
      </c>
      <c r="O451">
        <v>2834</v>
      </c>
      <c r="P451" t="str">
        <f t="shared" ref="P451:P458" si="7">IF(OR(WEEKDAY(B451,2)=6, WEEKDAY(B451,2)=7),"Weekend","Weekday")</f>
        <v>Weekday</v>
      </c>
    </row>
    <row r="452" spans="1:16" x14ac:dyDescent="0.3">
      <c r="A452">
        <v>8877689391</v>
      </c>
      <c r="B452" s="1">
        <v>42466</v>
      </c>
      <c r="C452">
        <v>24136</v>
      </c>
      <c r="D452" t="s">
        <v>624</v>
      </c>
      <c r="E452" t="s">
        <v>624</v>
      </c>
      <c r="F452">
        <v>0</v>
      </c>
      <c r="G452" t="s">
        <v>625</v>
      </c>
      <c r="H452" t="s">
        <v>369</v>
      </c>
      <c r="I452" t="s">
        <v>527</v>
      </c>
      <c r="J452">
        <v>0</v>
      </c>
      <c r="K452">
        <v>87</v>
      </c>
      <c r="L452">
        <v>16</v>
      </c>
      <c r="M452">
        <v>318</v>
      </c>
      <c r="N452">
        <v>1019</v>
      </c>
      <c r="O452">
        <v>4039</v>
      </c>
      <c r="P452" t="str">
        <f t="shared" si="7"/>
        <v>Weekday</v>
      </c>
    </row>
    <row r="453" spans="1:16" x14ac:dyDescent="0.3">
      <c r="A453">
        <v>8877689391</v>
      </c>
      <c r="B453" s="1">
        <v>42467</v>
      </c>
      <c r="C453">
        <v>10910</v>
      </c>
      <c r="D453" t="s">
        <v>626</v>
      </c>
      <c r="E453" t="s">
        <v>626</v>
      </c>
      <c r="F453">
        <v>0</v>
      </c>
      <c r="G453" t="s">
        <v>335</v>
      </c>
      <c r="H453" t="s">
        <v>612</v>
      </c>
      <c r="I453" t="s">
        <v>137</v>
      </c>
      <c r="J453">
        <v>0</v>
      </c>
      <c r="K453">
        <v>32</v>
      </c>
      <c r="L453">
        <v>11</v>
      </c>
      <c r="M453">
        <v>212</v>
      </c>
      <c r="N453">
        <v>1185</v>
      </c>
      <c r="O453">
        <v>2947</v>
      </c>
      <c r="P453" t="str">
        <f t="shared" si="7"/>
        <v>Weekday</v>
      </c>
    </row>
    <row r="454" spans="1:16" x14ac:dyDescent="0.3">
      <c r="A454">
        <v>8877689391</v>
      </c>
      <c r="B454" s="1">
        <v>42468</v>
      </c>
      <c r="C454">
        <v>23014</v>
      </c>
      <c r="D454" t="s">
        <v>627</v>
      </c>
      <c r="E454" t="s">
        <v>627</v>
      </c>
      <c r="F454">
        <v>0</v>
      </c>
      <c r="G454" t="s">
        <v>628</v>
      </c>
      <c r="H454" t="s">
        <v>162</v>
      </c>
      <c r="I454" t="s">
        <v>629</v>
      </c>
      <c r="J454">
        <v>0</v>
      </c>
      <c r="K454">
        <v>70</v>
      </c>
      <c r="L454">
        <v>29</v>
      </c>
      <c r="M454">
        <v>359</v>
      </c>
      <c r="N454">
        <v>982</v>
      </c>
      <c r="O454">
        <v>4196</v>
      </c>
      <c r="P454" t="str">
        <f t="shared" si="7"/>
        <v>Weekday</v>
      </c>
    </row>
    <row r="455" spans="1:16" x14ac:dyDescent="0.3">
      <c r="A455">
        <v>8877689391</v>
      </c>
      <c r="B455" s="1">
        <v>42469</v>
      </c>
      <c r="C455">
        <v>16470</v>
      </c>
      <c r="D455" t="s">
        <v>630</v>
      </c>
      <c r="E455" t="s">
        <v>630</v>
      </c>
      <c r="F455">
        <v>0</v>
      </c>
      <c r="G455">
        <v>0</v>
      </c>
      <c r="H455" t="s">
        <v>159</v>
      </c>
      <c r="I455" t="s">
        <v>631</v>
      </c>
      <c r="J455">
        <v>0</v>
      </c>
      <c r="K455">
        <v>90</v>
      </c>
      <c r="L455">
        <v>9</v>
      </c>
      <c r="M455">
        <v>289</v>
      </c>
      <c r="N455">
        <v>1052</v>
      </c>
      <c r="O455">
        <v>3841</v>
      </c>
      <c r="P455" t="str">
        <f t="shared" si="7"/>
        <v>Weekend</v>
      </c>
    </row>
    <row r="456" spans="1:16" x14ac:dyDescent="0.3">
      <c r="A456">
        <v>8877689391</v>
      </c>
      <c r="B456" s="1">
        <v>42470</v>
      </c>
      <c r="C456">
        <v>28497</v>
      </c>
      <c r="D456" t="s">
        <v>632</v>
      </c>
      <c r="E456" t="s">
        <v>632</v>
      </c>
      <c r="F456">
        <v>0</v>
      </c>
      <c r="G456" t="s">
        <v>633</v>
      </c>
      <c r="H456" t="s">
        <v>553</v>
      </c>
      <c r="I456" t="s">
        <v>381</v>
      </c>
      <c r="J456">
        <v>0</v>
      </c>
      <c r="K456">
        <v>128</v>
      </c>
      <c r="L456">
        <v>46</v>
      </c>
      <c r="M456">
        <v>211</v>
      </c>
      <c r="N456">
        <v>1055</v>
      </c>
      <c r="O456">
        <v>4526</v>
      </c>
      <c r="P456" t="str">
        <f t="shared" si="7"/>
        <v>Weekend</v>
      </c>
    </row>
    <row r="457" spans="1:16" x14ac:dyDescent="0.3">
      <c r="A457">
        <v>8877689391</v>
      </c>
      <c r="B457" s="1">
        <v>42471</v>
      </c>
      <c r="C457">
        <v>10622</v>
      </c>
      <c r="D457" t="s">
        <v>430</v>
      </c>
      <c r="E457" t="s">
        <v>430</v>
      </c>
      <c r="F457">
        <v>0</v>
      </c>
      <c r="G457" t="s">
        <v>352</v>
      </c>
      <c r="H457" t="s">
        <v>284</v>
      </c>
      <c r="I457" t="s">
        <v>49</v>
      </c>
      <c r="J457" t="s">
        <v>84</v>
      </c>
      <c r="K457">
        <v>18</v>
      </c>
      <c r="L457">
        <v>7</v>
      </c>
      <c r="M457">
        <v>225</v>
      </c>
      <c r="N457">
        <v>1190</v>
      </c>
      <c r="O457">
        <v>2820</v>
      </c>
      <c r="P457" t="str">
        <f t="shared" si="7"/>
        <v>Weekday</v>
      </c>
    </row>
    <row r="458" spans="1:16" x14ac:dyDescent="0.3">
      <c r="A458">
        <v>8877689391</v>
      </c>
      <c r="B458" s="1">
        <v>42472</v>
      </c>
      <c r="C458">
        <v>2350</v>
      </c>
      <c r="D458" t="s">
        <v>600</v>
      </c>
      <c r="E458" t="s">
        <v>600</v>
      </c>
      <c r="F458">
        <v>0</v>
      </c>
      <c r="G458">
        <v>0</v>
      </c>
      <c r="H458">
        <v>0</v>
      </c>
      <c r="I458" t="s">
        <v>600</v>
      </c>
      <c r="J458">
        <v>0</v>
      </c>
      <c r="K458">
        <v>0</v>
      </c>
      <c r="L458">
        <v>0</v>
      </c>
      <c r="M458">
        <v>58</v>
      </c>
      <c r="N458">
        <v>531</v>
      </c>
      <c r="O458">
        <v>938</v>
      </c>
      <c r="P458" t="str">
        <f t="shared" si="7"/>
        <v>Weekday</v>
      </c>
    </row>
  </sheetData>
  <autoFilter ref="C1:C458" xr:uid="{00000000-0009-0000-0000-000002000000}">
    <filterColumn colId="0">
      <customFilters>
        <customFilter operator="notEqual" val="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</vt:i4>
      </vt:variant>
      <vt:variant>
        <vt:lpstr>Діаграми</vt:lpstr>
      </vt:variant>
      <vt:variant>
        <vt:i4>1</vt:i4>
      </vt:variant>
    </vt:vector>
  </HeadingPairs>
  <TitlesOfParts>
    <vt:vector size="3" baseType="lpstr">
      <vt:lpstr>pIVOT TABLE</vt:lpstr>
      <vt:lpstr>dailyActivity_merged</vt:lpstr>
      <vt:lpstr>ScatterPlot(steps, calories)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</dc:creator>
  <cp:lastModifiedBy>Nestor Biloskurskyi</cp:lastModifiedBy>
  <dcterms:created xsi:type="dcterms:W3CDTF">2026-04-19T13:03:57Z</dcterms:created>
  <dcterms:modified xsi:type="dcterms:W3CDTF">2026-05-09T09:39:33Z</dcterms:modified>
</cp:coreProperties>
</file>